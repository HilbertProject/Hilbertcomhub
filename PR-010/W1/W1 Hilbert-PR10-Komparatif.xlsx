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5.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perset Topik-Tokoh" sheetId="1" state="visible" r:id="rId3"/>
    <sheet name="Konsistensi Prep vs Draft" sheetId="2" state="visible" r:id="rId4"/>
    <sheet name="Ringkasan per AI" sheetId="3" state="visible" r:id="rId5"/>
    <sheet name="Legend Tag AI" sheetId="4" state="visible" r:id="rId6"/>
    <sheet name="Konsensus 12 AI" sheetId="5" state="visible" r:id="rId7"/>
    <sheet name="Ringkasan Final"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<sst xmlns="http://schemas.openxmlformats.org/spreadsheetml/2006/main" count="8495" uniqueCount="2000">
  <si>
    <t xml:space="preserve">No</t>
  </si>
  <si>
    <t xml:space="preserve">Item</t>
  </si>
  <si>
    <t xml:space="preserve">Jenis (Topik/Tokoh)</t>
  </si>
  <si>
    <t xml:space="preserve">Konteks Singkat</t>
  </si>
  <si>
    <t xml:space="preserve">Tag AI</t>
  </si>
  <si>
    <t xml:space="preserve">Kelompok Kanonik</t>
  </si>
  <si>
    <t xml:space="preserve">David Hilbert</t>
  </si>
  <si>
    <t xml:space="preserve">Tokoh</t>
  </si>
  <si>
    <t xml:space="preserve">Pengusul PR#10, semboyan kein ignorabimus, Hilbert's Program, pidato radio 1930</t>
  </si>
  <si>
    <t xml:space="preserve">CL</t>
  </si>
  <si>
    <t xml:space="preserve">Emil du Bois-Reymond</t>
  </si>
  <si>
    <t xml:space="preserve">Sumber klaim 'ignoramus et ignorabimus' yang dibantah semboyan Hilbert</t>
  </si>
  <si>
    <t xml:space="preserve">Diophantus</t>
  </si>
  <si>
    <t xml:space="preserve">Asal nama 'persamaan Diophantine', abad ke-3 M</t>
  </si>
  <si>
    <t xml:space="preserve">Wilhelm Ackermann</t>
  </si>
  <si>
    <t xml:space="preserve">Ko-perumus Entscheidungsproblem bersama Hilbert, 1928</t>
  </si>
  <si>
    <t xml:space="preserve">Kurt Gödel</t>
  </si>
  <si>
    <t xml:space="preserve">Teorema ketidaklengkapan 1931; fungsi rekursif</t>
  </si>
  <si>
    <t xml:space="preserve">Alonzo Church</t>
  </si>
  <si>
    <t xml:space="preserve">Kalkulus lambda 1936; Entscheidungsproblem tak terpecahkan</t>
  </si>
  <si>
    <t xml:space="preserve">Alan Turing</t>
  </si>
  <si>
    <t xml:space="preserve">Mesin Turing 1936; Entscheidungsproblem tak terpecahkan</t>
  </si>
  <si>
    <t xml:space="preserve">Julia Robinson</t>
  </si>
  <si>
    <t xml:space="preserve">Hipotesis J.R.; Teorema DPR 1961; batas 9 variabel</t>
  </si>
  <si>
    <t xml:space="preserve">Martin Davis</t>
  </si>
  <si>
    <t xml:space="preserve">Teorema Davis-Putnam-Robinson 1961</t>
  </si>
  <si>
    <t xml:space="preserve">Hilary Putnam</t>
  </si>
  <si>
    <t xml:space="preserve">Yuri Matiyasevich</t>
  </si>
  <si>
    <t xml:space="preserve">Penutup celah via Fibonacci 1970; Teorema MRDP; batas 9 variabel</t>
  </si>
  <si>
    <t xml:space="preserve">Jan Denef</t>
  </si>
  <si>
    <t xml:space="preserve">Gagasan kurva eliptik pengganti Pell; HTP cincin bilangan bulat 1978</t>
  </si>
  <si>
    <t xml:space="preserve">Leonard Lipshitz</t>
  </si>
  <si>
    <t xml:space="preserve">HTP cincin bilangan bulat kasus abelian, 1978</t>
  </si>
  <si>
    <t xml:space="preserve">Shapiro</t>
  </si>
  <si>
    <t xml:space="preserve">HTP cincin bilangan bulat kasus abelian (nama depan tak disebut draft)</t>
  </si>
  <si>
    <t xml:space="preserve">Harold Shapiro</t>
  </si>
  <si>
    <t xml:space="preserve">Alexandra Shlapentokh</t>
  </si>
  <si>
    <t xml:space="preserve">HTP cincin bilangan bulat kasus abelian</t>
  </si>
  <si>
    <t xml:space="preserve">Thanases Pheidas</t>
  </si>
  <si>
    <t xml:space="preserve">HTP kasus abelian; kurva eliptik pengganti Pell (Cornelissen-Pheidas-Zahidi)</t>
  </si>
  <si>
    <t xml:space="preserve">Bjorn Poonen</t>
  </si>
  <si>
    <t xml:space="preserve">Merumuskan rigor kurva eliptik pengganti Pell</t>
  </si>
  <si>
    <t xml:space="preserve">Gunther Cornelissen</t>
  </si>
  <si>
    <t xml:space="preserve">Kurva eliptik pengganti Pell (bersama Pheidas, Zahidi)</t>
  </si>
  <si>
    <t xml:space="preserve">Karim Zahidi</t>
  </si>
  <si>
    <t xml:space="preserve">Kurva eliptik pengganti Pell (bersama Cornelissen, Pheidas)</t>
  </si>
  <si>
    <t xml:space="preserve">Natalia Garcia-Fritz</t>
  </si>
  <si>
    <t xml:space="preserve">Pendekatan Iwasawa &amp; Heegner, 2020</t>
  </si>
  <si>
    <t xml:space="preserve">Hector Pasten</t>
  </si>
  <si>
    <t xml:space="preserve">Debanjana Kundu</t>
  </si>
  <si>
    <t xml:space="preserve">Kajian kurva eliptik eksplisit, 2024</t>
  </si>
  <si>
    <t xml:space="preserve">Antonio Lei</t>
  </si>
  <si>
    <t xml:space="preserve">Florian Sprung</t>
  </si>
  <si>
    <t xml:space="preserve">Barry Mazur</t>
  </si>
  <si>
    <t xml:space="preserve">Konjektur closure topologis solusi atas Q</t>
  </si>
  <si>
    <t xml:space="preserve">Peter Koymans</t>
  </si>
  <si>
    <t xml:space="preserve">Terobosan HTP semua cincin, kombinatorika aditif, 2024-2025</t>
  </si>
  <si>
    <t xml:space="preserve">Carlo Pagano</t>
  </si>
  <si>
    <t xml:space="preserve">Levent Alpöge</t>
  </si>
  <si>
    <t xml:space="preserve">Bukti independen kestabilan rank, Jan 2025</t>
  </si>
  <si>
    <t xml:space="preserve">Manjul Bhargava</t>
  </si>
  <si>
    <t xml:space="preserve">Wei Ho</t>
  </si>
  <si>
    <t xml:space="preserve">Ari Shnidman</t>
  </si>
  <si>
    <t xml:space="preserve">J. Van Geel</t>
  </si>
  <si>
    <t xml:space="preserve">Editor buku kompilasi HTP: Relations with Arithmetic and Algebraic Geometry, 2000</t>
  </si>
  <si>
    <t xml:space="preserve">Natalie Wolchover</t>
  </si>
  <si>
    <t xml:space="preserve">Penulis artikel Quanta Magazine 2025 soal terobosan HTP -- GALAT FAKTUAL TERVERIFIKASI (Tahap 1.5, dicek langsung ke sumber primer): draft CL salah atribusi. Artikel yg dimaksud ('New Proofs Probe the Limits of Mathematical Truth', quantamagazine.org, 3 Feb 2025) byline aslinya Joseph Howlett, BUKAN Wolchover -- dicek langsung ke arsip tulisan Wolchover di Quanta, ia tak pernah menulis ttg HTP (area liputannya fisika/kolom Qualia). Nama jurnalis yg benar utk artikel ini: Joseph Howlett (bandingkan entri 'J. Howlett' di draft GR, yg atribusinya akurat).</t>
  </si>
  <si>
    <t xml:space="preserve">Pidato "Mathematische Probleme", Paris 1900</t>
  </si>
  <si>
    <t xml:space="preserve">Topik</t>
  </si>
  <si>
    <t xml:space="preserve">Momen resmi perumusan 23 Masalah Hilbert termasuk PR#10</t>
  </si>
  <si>
    <t xml:space="preserve">Perumusan Masalah Hilbert #10 (Paris 1900)</t>
  </si>
  <si>
    <t xml:space="preserve">Konsep "Verfahren" (prosedur tanpa definisi formal)</t>
  </si>
  <si>
    <t xml:space="preserve">Istilah Jerman utk 'prosedur umum' yg dituntut PR#10</t>
  </si>
  <si>
    <t xml:space="preserve">Konsep "prosedur efektif" (Verfahren)</t>
  </si>
  <si>
    <t xml:space="preserve">Semboyan "kein ignorabimus"</t>
  </si>
  <si>
    <t xml:space="preserve">Landasan filosofis tuntutan solusi definitif</t>
  </si>
  <si>
    <t xml:space="preserve">Semboyan Hilbert "Wir müssen wissen" (menolak ignorabimus)</t>
  </si>
  <si>
    <t xml:space="preserve">Klaim "ignoramus et ignorabimus" (du Bois-Reymond)</t>
  </si>
  <si>
    <t xml:space="preserve">Klaim batas mutlak pengetahuan yang dibantah semboyan Hilbert</t>
  </si>
  <si>
    <t xml:space="preserve">Klaim "ignorabimus" du Bois-Reymond (ditolak Hilbert)</t>
  </si>
  <si>
    <t xml:space="preserve">Tradisi persamaan Diophantine</t>
  </si>
  <si>
    <t xml:space="preserve">Asal-usul objek matematika yang dibahas PR#10</t>
  </si>
  <si>
    <t xml:space="preserve">Persamaan Diophantine</t>
  </si>
  <si>
    <t xml:space="preserve">Hilbert's Program</t>
  </si>
  <si>
    <t xml:space="preserve">Usaha formalisasi matematika 1920-an: konsisten, lengkap, decidable</t>
  </si>
  <si>
    <t xml:space="preserve">Program Hilbert &amp; Formalisme (Aksiomatisasi, 1900)</t>
  </si>
  <si>
    <t xml:space="preserve">Entscheidungsproblem</t>
  </si>
  <si>
    <t xml:space="preserve">Versi umum semangat PR#10 utk seluruh logika predikat</t>
  </si>
  <si>
    <t xml:space="preserve">Teorema ketidaklengkapan Gödel</t>
  </si>
  <si>
    <t xml:space="preserve">Pukulan pertama thd optimisme program Hilbert, 1931</t>
  </si>
  <si>
    <t xml:space="preserve">Teorema Ketidaklengkapan Gödel (1931)</t>
  </si>
  <si>
    <t xml:space="preserve">Pidato radio Königsberg 1930</t>
  </si>
  <si>
    <t xml:space="preserve">Ironi historis: sehari setelah pengumuman Gödel</t>
  </si>
  <si>
    <t xml:space="preserve">Fungsi rekursif</t>
  </si>
  <si>
    <t xml:space="preserve">Formalisasi computability oleh Gödel</t>
  </si>
  <si>
    <t xml:space="preserve">Kalkulus lambda</t>
  </si>
  <si>
    <t xml:space="preserve">Formalisasi computability oleh Church, 1936</t>
  </si>
  <si>
    <t xml:space="preserve">Kalkulus Lambda (Church, 1936)</t>
  </si>
  <si>
    <t xml:space="preserve">Mesin Turing</t>
  </si>
  <si>
    <t xml:space="preserve">Formalisasi computability standar, 1936</t>
  </si>
  <si>
    <t xml:space="preserve">Teori Komputabilitas &amp; Mesin Turing (Church-Turing, 1936)</t>
  </si>
  <si>
    <t xml:space="preserve">Tesis Church-Turing</t>
  </si>
  <si>
    <t xml:space="preserve">Kesetaraan tiga formalisasi computability tahun 1930-an</t>
  </si>
  <si>
    <t xml:space="preserve">Persamaan Pell</t>
  </si>
  <si>
    <t xml:space="preserve">Alat teknis klasik, jadi bekal &amp; kunci strategi Lapisan II-III</t>
  </si>
  <si>
    <t xml:space="preserve">Hipotesis J.R.</t>
  </si>
  <si>
    <t xml:space="preserve">Pertumbuhan eksponensial, terobosan kunci 1940-50an</t>
  </si>
  <si>
    <t xml:space="preserve">Hipotesis Julia Robinson (fungsi eksponensial Diophantine)</t>
  </si>
  <si>
    <t xml:space="preserve">Teorema Davis-Putnam-Robinson (1961)</t>
  </si>
  <si>
    <t xml:space="preserve">Hampir menyelesaikan PR#10 kecuali celah eksponensial</t>
  </si>
  <si>
    <t xml:space="preserve">Teorema DPR (Davis-Putnam-Robinson, 1961)</t>
  </si>
  <si>
    <t xml:space="preserve">Penutupan celah via deret Fibonacci (1970)</t>
  </si>
  <si>
    <t xml:space="preserve">Matiyasevich melengkapi bukti PR#10</t>
  </si>
  <si>
    <t xml:space="preserve">Barisan Fibonacci (kunci teknis bukti 1970)</t>
  </si>
  <si>
    <t xml:space="preserve">Teorema MRDP</t>
  </si>
  <si>
    <t xml:space="preserve">Hasil final: himpunan Diophantine = recursively enumerable</t>
  </si>
  <si>
    <t xml:space="preserve">Teorema MRDP (bukti final 1970)</t>
  </si>
  <si>
    <t xml:space="preserve">Polinomial penghasil bilangan prima</t>
  </si>
  <si>
    <t xml:space="preserve">Konsekuensi menarik Teorema MRDP</t>
  </si>
  <si>
    <t xml:space="preserve">Batas dimensi (&lt;=9 variabel cukup)</t>
  </si>
  <si>
    <t xml:space="preserve">Penyempurnaan hasil MRDP pasca-1970</t>
  </si>
  <si>
    <t xml:space="preserve">Batas variabel/derajat pada persamaan universal (9-11 unknowns)</t>
  </si>
  <si>
    <t xml:space="preserve">HTP cincin bilangan bulat lapangan nomor (kasus abelian)</t>
  </si>
  <si>
    <t xml:space="preserve">Perluasan undecidability ke subkelas ring aljabar, 1978-2000an</t>
  </si>
  <si>
    <t xml:space="preserve">Generalisasi HTP ke ring/field lain (pra-2020, kasus parsial)</t>
  </si>
  <si>
    <t xml:space="preserve">Kurva eliptik sebagai pengganti persamaan Pell</t>
  </si>
  <si>
    <t xml:space="preserve">Alat teknis kunci generalisasi PR#10 pasca-1970, ~2002-2005</t>
  </si>
  <si>
    <t xml:space="preserve">Kurva Eliptik &amp; Kriteria Poonen (descent, Pell)</t>
  </si>
  <si>
    <t xml:space="preserve">Konjektur closure topologis solusi atas Q (Mazur)</t>
  </si>
  <si>
    <t xml:space="preserve">Mempersulit strategi pembuktian negatif langsung utk HTP(Q)</t>
  </si>
  <si>
    <t xml:space="preserve">Konjektur/Dugaan Mazur (closure topologis solusi atas Q)</t>
  </si>
  <si>
    <t xml:space="preserve">HTP atas Q -- masih terbuka</t>
  </si>
  <si>
    <t xml:space="preserve">Salah satu soal terbesar yang belum terpecahkan di bidang ini</t>
  </si>
  <si>
    <t xml:space="preserve">HTP atas Bilangan Rasional Q (masih terbuka)</t>
  </si>
  <si>
    <t xml:space="preserve">Kajian via kurva eliptik eksplisit (2024)</t>
  </si>
  <si>
    <t xml:space="preserve">Memperluas hasil HTP ke lebih banyak lapangan nomor</t>
  </si>
  <si>
    <t xml:space="preserve">Pendekatan via teori Iwasawa &amp; titik Heegner (2020)</t>
  </si>
  <si>
    <t xml:space="preserve">Kontribusi menuju penyelesaian HTP cincin bilangan bulat</t>
  </si>
  <si>
    <t xml:space="preserve">Pendekatan Teori Iwasawa (Garcia-Fritz-Pasten dkk.)</t>
  </si>
  <si>
    <t xml:space="preserve">Terobosan: HTP tak terpecahkan utk semua cincin (Koymans-Pagano)</t>
  </si>
  <si>
    <t xml:space="preserve">Menutup hampir seluruh cabang generalisasi PR#10, Des 2024/rev Nov 2025</t>
  </si>
  <si>
    <t xml:space="preserve">Terobosan Koymans-Pagano (HTP semua ring finitely generated, 2024-2026)</t>
  </si>
  <si>
    <t xml:space="preserve">Bukti independen kestabilan rank ekstensi kuadratik (ABHS)</t>
  </si>
  <si>
    <t xml:space="preserve">Menguatkan hasil Koymans-Pagano lewat metode berbeda, Jan 2025</t>
  </si>
  <si>
    <t xml:space="preserve">Bukti independen kestabilan rank (Alpöge-Bhargava-Ho-Shnidman, 2025)</t>
  </si>
  <si>
    <t xml:space="preserve">Makalah ekspositori terobosan (Koymans-Pagano, Feb 2026)</t>
  </si>
  <si>
    <t xml:space="preserve">Survei komprehensif perkembangan 1970-2026 -- TERVERIFIKASI (Tahap 1.5, web search): paper riil 'Hilbert's tenth problem for finitely generated rings', Koymans &amp; Pagano, 5 Feb 2026</t>
  </si>
  <si>
    <t xml:space="preserve">Makalah ekspositori Koymans-Pagano (Feb 2026)</t>
  </si>
  <si>
    <t xml:space="preserve">Kolaborasi matematika lintas Tirai Besi (Perang Dingin)</t>
  </si>
  <si>
    <t xml:space="preserve">Dimensi manusiawi: AS (Davis, Putnam, Robinson) vs Uni Soviet (Matiyasevich)</t>
  </si>
  <si>
    <t xml:space="preserve">Pengusul PR#10; formalisme; Program Hilbert; Entscheidungsproblem</t>
  </si>
  <si>
    <t xml:space="preserve">DE</t>
  </si>
  <si>
    <t xml:space="preserve">Asal nama persamaan Diophantine (tokoh Yunani Kuno)</t>
  </si>
  <si>
    <t xml:space="preserve">Fermat</t>
  </si>
  <si>
    <t xml:space="preserve">Contoh persamaan Diophantine klasik</t>
  </si>
  <si>
    <t xml:space="preserve">Pierre de Fermat</t>
  </si>
  <si>
    <t xml:space="preserve">Euler</t>
  </si>
  <si>
    <t xml:space="preserve">Teori Bilangan -- metode awal &amp; kasus khusus</t>
  </si>
  <si>
    <t xml:space="preserve">Leonhard Euler</t>
  </si>
  <si>
    <t xml:space="preserve">Gauss</t>
  </si>
  <si>
    <t xml:space="preserve">Carl Friedrich Gauss</t>
  </si>
  <si>
    <t xml:space="preserve">Teorema ketidaklengkapan 1931</t>
  </si>
  <si>
    <t xml:space="preserve">Ko-perumus Entscheidungsproblem, 1928</t>
  </si>
  <si>
    <t xml:space="preserve">Kalkulus lambda; Entscheidungsproblem tak terpecahkan, 1936</t>
  </si>
  <si>
    <t xml:space="preserve">Mesin Turing; Entscheidungsproblem tak terpecahkan, 1936</t>
  </si>
  <si>
    <t xml:space="preserve">Menghubungkan persamaan Diophantine &amp; himpunan RE; bentuk normal Davis</t>
  </si>
  <si>
    <t xml:space="preserve">Menghubungkan persamaan Diophantine &amp; himpunan RE; eliminasi Putnam</t>
  </si>
  <si>
    <t xml:space="preserve">Hipotesis eksponensial Robinson</t>
  </si>
  <si>
    <t xml:space="preserve">Melengkapi bukti setiap himpunan RE adalah Diophantine, 1970</t>
  </si>
  <si>
    <t xml:space="preserve">Dugaan terkait H10 atas Q</t>
  </si>
  <si>
    <t xml:space="preserve">Dugaan/kajian H10 atas Q</t>
  </si>
  <si>
    <t xml:space="preserve">Dugaan/kajian H10 atas Q; buku generalisasi ke gelanggang global</t>
  </si>
  <si>
    <t xml:space="preserve">Lou van den Dries</t>
  </si>
  <si>
    <t xml:space="preserve">H10 atas bilangan rasional</t>
  </si>
  <si>
    <t xml:space="preserve">Stephen Cook</t>
  </si>
  <si>
    <t xml:space="preserve">Teori kompleksitas &amp; P vs NP</t>
  </si>
  <si>
    <t xml:space="preserve">Leonid Levin</t>
  </si>
  <si>
    <t xml:space="preserve">Richard Karp</t>
  </si>
  <si>
    <t xml:space="preserve">Neal Koblitz</t>
  </si>
  <si>
    <t xml:space="preserve">Kriptografi kurva eliptik</t>
  </si>
  <si>
    <t xml:space="preserve">Victor Miller</t>
  </si>
  <si>
    <t xml:space="preserve">Harvey Friedman</t>
  </si>
  <si>
    <t xml:space="preserve">Reverse Mathematics</t>
  </si>
  <si>
    <t xml:space="preserve">Stephen Simpson</t>
  </si>
  <si>
    <t xml:space="preserve">Alan Bundy</t>
  </si>
  <si>
    <t xml:space="preserve">Pencarian solusi heuristik &amp; automated reasoning</t>
  </si>
  <si>
    <t xml:space="preserve">Lawrence Paulson</t>
  </si>
  <si>
    <t xml:space="preserve">Paul Cohen</t>
  </si>
  <si>
    <t xml:space="preserve">Independensi hipotesis kontinuum dari ZFC (bersama Gödel)</t>
  </si>
  <si>
    <t xml:space="preserve">H. B. Enderton</t>
  </si>
  <si>
    <t xml:space="preserve">Buku pengantar logika matematis, dipakai utk Bab 3</t>
  </si>
  <si>
    <t xml:space="preserve">Herbert B. Enderton</t>
  </si>
  <si>
    <t xml:space="preserve">R. I. Soare</t>
  </si>
  <si>
    <t xml:space="preserve">Buku Turing Computability, dipakai utk Bab 5-7</t>
  </si>
  <si>
    <t xml:space="preserve">Robert I. Soare</t>
  </si>
  <si>
    <t xml:space="preserve">John Harrison</t>
  </si>
  <si>
    <t xml:space="preserve">Handbook of Practical Logic and Automated Reasoning, dipakai utk Bab 12</t>
  </si>
  <si>
    <t xml:space="preserve">Objek utama PR#10</t>
  </si>
  <si>
    <t xml:space="preserve">Teori Bilangan</t>
  </si>
  <si>
    <t xml:space="preserve">Latar belakang matematis, metode awal &amp; kasus khusus</t>
  </si>
  <si>
    <t xml:space="preserve">Teori Bilangan (bidang umum)</t>
  </si>
  <si>
    <t xml:space="preserve">Logika Matematika &amp; Sistem Formal</t>
  </si>
  <si>
    <t xml:space="preserve">Merumuskan kebutuhan prosedur keputusan; batas sistem aksiomatik</t>
  </si>
  <si>
    <t xml:space="preserve">Teori Himpunan &amp; Krisis Fondasi Matematika (Cantor, Russell, dll.)</t>
  </si>
  <si>
    <t xml:space="preserve">Teori Komputasi &amp; Algoritma (Decidability)</t>
  </si>
  <si>
    <t xml:space="preserve">Definisi formal prosedur efektif; masalah tak terputuskan</t>
  </si>
  <si>
    <t xml:space="preserve">Teori Rekursi &amp; Himpunan Rekursif Enumerabel</t>
  </si>
  <si>
    <t xml:space="preserve">Menghubungkan RE dengan definisi Diophantine</t>
  </si>
  <si>
    <t xml:space="preserve">Konjektur Davis (Himpunan RE = Himpunan Diophantine)</t>
  </si>
  <si>
    <t xml:space="preserve">Himpunan Diophantine</t>
  </si>
  <si>
    <t xml:space="preserve">Melengkapi bukti bhw RE = Diophantine -&gt; PR#10 tak terputuskan</t>
  </si>
  <si>
    <t xml:space="preserve">Teorema Ketidaklengkapan Gödel</t>
  </si>
  <si>
    <t xml:space="preserve">Keterbatasan sistem formal; memicu hasil negatif</t>
  </si>
  <si>
    <t xml:space="preserve">Kasus umum masalah keputusan, paralel dgn PR#10</t>
  </si>
  <si>
    <t xml:space="preserve">Filsafat Matematika (Formalisme)</t>
  </si>
  <si>
    <t xml:space="preserve">Motivasi &amp; keyakinan awal Hilbert; batas formalisme</t>
  </si>
  <si>
    <t xml:space="preserve">Problem Hilbert #2 (Konsistensi Aritmetika)</t>
  </si>
  <si>
    <t xml:space="preserve">Ketidaklengkapan mematahkan harapan sistem lengkap</t>
  </si>
  <si>
    <t xml:space="preserve">Problem Hilbert #2 (Konsistensi Aritmetika) -- perbandingan</t>
  </si>
  <si>
    <t xml:space="preserve">Problem Hilbert #1 (Hipotesis Kontinuum)</t>
  </si>
  <si>
    <t xml:space="preserve">Paralel: pernyataan matematika yg tak dpt diputuskan dari ZFC</t>
  </si>
  <si>
    <t xml:space="preserve">Problem Hilbert #1 (Hipotesis Kontinuum) -- perbandingan</t>
  </si>
  <si>
    <t xml:space="preserve">Problem Hilbert #6 (Aksiomatisasi Fisika)</t>
  </si>
  <si>
    <t xml:space="preserve">Semangat sama: reduksi ilmu ke sistem formal lengkap</t>
  </si>
  <si>
    <t xml:space="preserve">Problem Hilbert #6 (Aksiomatisasi Fisika) -- perbandingan</t>
  </si>
  <si>
    <t xml:space="preserve">H10 atas bilangan rasional (H10/Q)</t>
  </si>
  <si>
    <t xml:space="preserve">Status masih terbuka; arah riset utama pasca-1970</t>
  </si>
  <si>
    <t xml:space="preserve">Teori Kompleksitas &amp; P vs NP</t>
  </si>
  <si>
    <t xml:space="preserve">Efisiensi algoritma utk subkelas; memisahkan ketidakputusan dari praktik</t>
  </si>
  <si>
    <t xml:space="preserve">Teori Kompleksitas Komputasi (P vs NP)</t>
  </si>
  <si>
    <t xml:space="preserve">Persamaan Diophantine eksponensial</t>
  </si>
  <si>
    <t xml:space="preserve">Memperluas ketidakputusan ke kelas eksponensial</t>
  </si>
  <si>
    <t xml:space="preserve">Persamaan Diophantine Eksponensial</t>
  </si>
  <si>
    <t xml:space="preserve">Kriptografi berbasis kurva eliptik</t>
  </si>
  <si>
    <t xml:space="preserve">Kontras: banyak kasus khusus diselesaikan efisien &amp; penting utk keamanan</t>
  </si>
  <si>
    <t xml:space="preserve">Kriptografi &amp; Persamaan Diophantine (aplikasi)</t>
  </si>
  <si>
    <t xml:space="preserve">Aksioma minimal utk teorema ketidakputusan PR#10</t>
  </si>
  <si>
    <t xml:space="preserve">Metode praktis subkelas persamaan; batas teori vs praktik</t>
  </si>
  <si>
    <t xml:space="preserve">Formal Verification &amp; Automated Reasoning (Coq/Isabelle)</t>
  </si>
  <si>
    <t xml:space="preserve">Formalisasi 'prosedur efektif' dari kalkulus lambda &amp; mesin Turing</t>
  </si>
  <si>
    <t xml:space="preserve">Masalah penghentian (Halting Problem)</t>
  </si>
  <si>
    <t xml:space="preserve">Konsep terkait Entscheidungsproblem/definisi algoritma</t>
  </si>
  <si>
    <t xml:space="preserve">Halting Problem (Masalah Berhenti)</t>
  </si>
  <si>
    <t xml:space="preserve">Bentuk normal Davis</t>
  </si>
  <si>
    <t xml:space="preserve">Langkah teknis menuju Teorema DPR</t>
  </si>
  <si>
    <t xml:space="preserve">Reduksi Davis-Putnam (bentuk normal, eliminasi)</t>
  </si>
  <si>
    <t xml:space="preserve">Eliminasi Putnam</t>
  </si>
  <si>
    <t xml:space="preserve">Hipotesis Julia Robinson (disebut eksplisit)</t>
  </si>
  <si>
    <t xml:space="preserve">Nama spesifik hipotesis pertumbuhan eksponensial Robinson</t>
  </si>
  <si>
    <t xml:space="preserve">Barisan Fibonacci</t>
  </si>
  <si>
    <t xml:space="preserve">Alat representasi eksponensial secara Diophantine, kunci bukti 1970</t>
  </si>
  <si>
    <t xml:space="preserve">Aksioma Peano</t>
  </si>
  <si>
    <t xml:space="preserve">Fondasi aritmetika formal, representasi fungsi/himpunan</t>
  </si>
  <si>
    <t xml:space="preserve">Pengusul PR#10; visi fondasi matematika; motto 'Wir müssen wissen'</t>
  </si>
  <si>
    <t xml:space="preserve">GR</t>
  </si>
  <si>
    <t xml:space="preserve">Sumber sikap pesimis 'ignorabimus' yang ditolak Hilbert</t>
  </si>
  <si>
    <t xml:space="preserve">Persamaan Diophantine dipelajari sejak dirinya, abad ke-3 M</t>
  </si>
  <si>
    <t xml:space="preserve">Kerangka formal algoritma; teori komputabilitas</t>
  </si>
  <si>
    <t xml:space="preserve">Bentuk normal Davis utk himpunan RE</t>
  </si>
  <si>
    <t xml:space="preserve">Hipotesis J.R.; eksponensiasi Diophantine</t>
  </si>
  <si>
    <t xml:space="preserve">Penyelesaian akhir 1970 (Teorema MRDP); barisan Fibonacci</t>
  </si>
  <si>
    <t xml:space="preserve">Teorema ketidaklengkapan 1931 (konteks filosofis/logis)</t>
  </si>
  <si>
    <t xml:space="preserve">Emil Post</t>
  </si>
  <si>
    <t xml:space="preserve">1944, menyatakan PR#10 'begs for an unsolvability proof'</t>
  </si>
  <si>
    <t xml:space="preserve">Undecidability semua ring of integers medan bilangan; additive combinatorics</t>
  </si>
  <si>
    <t xml:space="preserve">Bukti independen via rank stability</t>
  </si>
  <si>
    <t xml:space="preserve">Kirsten Eisenträger</t>
  </si>
  <si>
    <t xml:space="preserve">Hasil sebelumnya yg mendasari generalisasi H10 ke ring lain</t>
  </si>
  <si>
    <t xml:space="preserve">H10 atas Q; generalisasi ke gelanggang global (buku 2007)</t>
  </si>
  <si>
    <t xml:space="preserve">Hasil parsial 1980an-2010an generalisasi H10 ke ring lain</t>
  </si>
  <si>
    <t xml:space="preserve">Hasil parsial (Mazur-Rubin) generalisasi H10 ke ring lain</t>
  </si>
  <si>
    <t xml:space="preserve">Karl Rubin</t>
  </si>
  <si>
    <t xml:space="preserve">Survei 'Undecidability in Number Theory' 2008</t>
  </si>
  <si>
    <t xml:space="preserve">J. Howlett</t>
  </si>
  <si>
    <t xml:space="preserve">Artikel soal terobosan H10, 2025 -- TERVERIFIKASI PENUH (Tahap 1.5, dicek langsung ke sumber primer): byline asli artikel 'New Proofs Probe the Limits of Mathematical Truth' (quantamagazine.org, 3 Feb 2025) memang Joseph Howlett. Venue 'Quanta Magazine' yg disebut GR BENAR. (Bandingkan: draft CL menyitir artikel yg SAMA tapi keliru atribusi ke 'Wolchover' -- lih. catatan entri Wolchover di draft CL)</t>
  </si>
  <si>
    <t xml:space="preserve">Joseph Howlett</t>
  </si>
  <si>
    <t xml:space="preserve">Perumusan masalah &amp; visi fondasi matematika (Paris 1900)</t>
  </si>
  <si>
    <t xml:space="preserve">Momen resmi perumusan 23 masalah termasuk PR#10</t>
  </si>
  <si>
    <t xml:space="preserve">Teori komputabilitas &amp; undecidability</t>
  </si>
  <si>
    <t xml:space="preserve">Kerangka formal yg memungkinkan bukti ketidakadaan prosedur umum</t>
  </si>
  <si>
    <t xml:space="preserve">Himpunan recursively enumerable</t>
  </si>
  <si>
    <t xml:space="preserve">Hubungan RE dgn solusi persamaan Diophantine</t>
  </si>
  <si>
    <t xml:space="preserve">Hipotesis J.R. &amp; eksponensiasi Diophantine</t>
  </si>
  <si>
    <t xml:space="preserve">Jika eksponensiasi Diophantine, maka semua RE adalah Diophantine</t>
  </si>
  <si>
    <t xml:space="preserve">Penyelesaian akhir (Teorema MRDP)</t>
  </si>
  <si>
    <t xml:space="preserve">Fibonacci Diophantine; ketidakadaan algoritma</t>
  </si>
  <si>
    <t xml:space="preserve">Konteks filosofis/logis batas sistem formal</t>
  </si>
  <si>
    <t xml:space="preserve">Saran awal unsolvability (Emil Post 1944)</t>
  </si>
  <si>
    <t xml:space="preserve">PR#10 'begs for an unsolvability proof'</t>
  </si>
  <si>
    <t xml:space="preserve">Persamaan Pell &amp; barisan Fibonacci</t>
  </si>
  <si>
    <t xml:space="preserve">Alat konstruksi himpunan Diophantine yg tumbuh cepat</t>
  </si>
  <si>
    <t xml:space="preserve">Program Hilbert &amp; Entscheidungsproblem</t>
  </si>
  <si>
    <t xml:space="preserve">PR#10 sbg kasus khusus ambisi prosedur keputusan umum</t>
  </si>
  <si>
    <t xml:space="preserve">Generalisasi ke cincin/medan lain</t>
  </si>
  <si>
    <t xml:space="preserve">Perluasan PR#10 ke Q, bilangan bulat medan bilangan, dll.</t>
  </si>
  <si>
    <t xml:space="preserve">Optimisme "Wir müssen wissen…"</t>
  </si>
  <si>
    <t xml:space="preserve">Latar filosofis perumusan &amp; keyakinan awal</t>
  </si>
  <si>
    <t xml:space="preserve">Undecidability ring of integers medan bilangan (Koymans-Pagano)</t>
  </si>
  <si>
    <t xml:space="preserve">Z Diophantine atas O_K utk setiap medan bilangan K</t>
  </si>
  <si>
    <t xml:space="preserve">Rank stability abelian varieties/elliptic curves (ABHS)</t>
  </si>
  <si>
    <t xml:space="preserve">Bukti independen yg memperkuat hasil Koymans-Pagano</t>
  </si>
  <si>
    <t xml:space="preserve">H10 semua ring finitely generated tak hingga atas Z</t>
  </si>
  <si>
    <t xml:space="preserve">Generalisasi luas: tak ada algoritma di semua ring ini</t>
  </si>
  <si>
    <t xml:space="preserve">Additive combinatorics + 2-descent</t>
  </si>
  <si>
    <t xml:space="preserve">Teknik utama pembuktian rank non-growth unconditional</t>
  </si>
  <si>
    <t xml:space="preserve">Kombinatorika Aditif &amp; Kurva Eliptik (teknik Koymans-Pagano)</t>
  </si>
  <si>
    <t xml:space="preserve">H10 atas bilangan rasional Q</t>
  </si>
  <si>
    <t xml:space="preserve">Masalah terbuka terbesar yg tersisa</t>
  </si>
  <si>
    <t xml:space="preserve">Hasil terkait function fields &amp; derajat rendah</t>
  </si>
  <si>
    <t xml:space="preserve">Perluasan ke medan fungsi, persamaan cubic</t>
  </si>
  <si>
    <t xml:space="preserve">Klaim "ignorabimus" (du Bois-Reymond)</t>
  </si>
  <si>
    <t xml:space="preserve">Sikap pesimis yg ditolak semangat Hilbert</t>
  </si>
  <si>
    <t xml:space="preserve">Minat Hilbert pd fondasi &amp; decidability, terkait PR#10</t>
  </si>
  <si>
    <t xml:space="preserve">Makalah ekspositori Koymans-Pagano (2026, ring finitely generated)</t>
  </si>
  <si>
    <t xml:space="preserve">Rangkuman ekspositori hasil generalisasi luas</t>
  </si>
  <si>
    <t xml:space="preserve">Diophantus dari Alexandria</t>
  </si>
  <si>
    <t xml:space="preserve">Menulis Arithmetica (~250 M), asal nama persamaan Diophantine</t>
  </si>
  <si>
    <t xml:space="preserve">KI</t>
  </si>
  <si>
    <t xml:space="preserve">Penyusun PR#10 (1900); formalisme matematika</t>
  </si>
  <si>
    <t xml:space="preserve">Fondasi teori bilangan modern; metode persamaan kuadratik</t>
  </si>
  <si>
    <t xml:space="preserve">Georg Cantor</t>
  </si>
  <si>
    <t xml:space="preserve">Teori himpunan tak-terhingga</t>
  </si>
  <si>
    <t xml:space="preserve">Mesin Turing 1936; definisi algoritma/decidable</t>
  </si>
  <si>
    <t xml:space="preserve">Lambda calculus 1936; Entscheidungsproblem</t>
  </si>
  <si>
    <t xml:space="preserve">Bukti final 1970 (Teorema MRDP)</t>
  </si>
  <si>
    <t xml:space="preserve">Hipotesis J.R.; representasi Diophantine himpunan RE sejak 1950an</t>
  </si>
  <si>
    <t xml:space="preserve">Hipotesis DPR 1961</t>
  </si>
  <si>
    <t xml:space="preserve">Kolaborator DPR 1961</t>
  </si>
  <si>
    <t xml:space="preserve">Joseph-Louis Lagrange</t>
  </si>
  <si>
    <t xml:space="preserve">Teorema empat bilangan kuadrat; teori bilangan kuadratik</t>
  </si>
  <si>
    <t xml:space="preserve">John Pell</t>
  </si>
  <si>
    <t xml:space="preserve">Namesake persamaan Pell</t>
  </si>
  <si>
    <t xml:space="preserve">Brahmagupta</t>
  </si>
  <si>
    <t xml:space="preserve">Metode awal persamaan Pell, 628 M</t>
  </si>
  <si>
    <t xml:space="preserve">Teorema Fermat Terakhir</t>
  </si>
  <si>
    <t xml:space="preserve">Andrew Wiles</t>
  </si>
  <si>
    <t xml:space="preserve">Bukti Teorema Fermat Terakhir, 1995</t>
  </si>
  <si>
    <t xml:space="preserve">Louis Mordell</t>
  </si>
  <si>
    <t xml:space="preserve">Teorema Mordell-Weil, kurva eliptik</t>
  </si>
  <si>
    <t xml:space="preserve">André Weil</t>
  </si>
  <si>
    <t xml:space="preserve">Teorema Mordell-Weil</t>
  </si>
  <si>
    <t xml:space="preserve">Axel Thue</t>
  </si>
  <si>
    <t xml:space="preserve">Metode Thue-Siegel, aproksimasi Diophantine</t>
  </si>
  <si>
    <t xml:space="preserve">Carl Ludwig Siegel</t>
  </si>
  <si>
    <t xml:space="preserve">Giuseppe Peano</t>
  </si>
  <si>
    <t xml:space="preserve">Formalisasi aksioma aritmetika</t>
  </si>
  <si>
    <t xml:space="preserve">Alfred Tarski</t>
  </si>
  <si>
    <t xml:space="preserve">R decidable, Z undecidable, 1948</t>
  </si>
  <si>
    <t xml:space="preserve">Teori NP-completeness 1971</t>
  </si>
  <si>
    <t xml:space="preserve">Hendrik Lenstra</t>
  </si>
  <si>
    <t xml:space="preserve">Algoritma teori bilangan komputasional modern</t>
  </si>
  <si>
    <t xml:space="preserve">Ludwig Wittgenstein</t>
  </si>
  <si>
    <t xml:space="preserve">Kritik fondasi matematika</t>
  </si>
  <si>
    <t xml:space="preserve">Alexander Grothendieck</t>
  </si>
  <si>
    <t xml:space="preserve">Geometri aljabar modern, teori kategori</t>
  </si>
  <si>
    <t xml:space="preserve">Klaus Roth</t>
  </si>
  <si>
    <t xml:space="preserve">Teorema Roth 1955, aproksimasi Diophantine</t>
  </si>
  <si>
    <t xml:space="preserve">G.H. Hardy</t>
  </si>
  <si>
    <t xml:space="preserve">Metode lingkaran, teori bilangan analitik</t>
  </si>
  <si>
    <t xml:space="preserve">J.E. Littlewood</t>
  </si>
  <si>
    <t xml:space="preserve">Noam Chomsky</t>
  </si>
  <si>
    <t xml:space="preserve">Hierarki Chomsky, teori bahasa formal</t>
  </si>
  <si>
    <t xml:space="preserve">Ben Green</t>
  </si>
  <si>
    <t xml:space="preserve">Teorema Green-Tao 2004; digeneralisasi utk PR#10 2024-2025</t>
  </si>
  <si>
    <t xml:space="preserve">Terence Tao</t>
  </si>
  <si>
    <t xml:space="preserve">Teorema Green-Tao 2004; proyek formalisasi matematika</t>
  </si>
  <si>
    <t xml:space="preserve">H10 undecidable semua ring berhingga, 2024-2025</t>
  </si>
  <si>
    <t xml:space="preserve">Bukti independen 2025 (varietas abelian)</t>
  </si>
  <si>
    <t xml:space="preserve">Bukti independen 2025; Fields Medal 2014</t>
  </si>
  <si>
    <t xml:space="preserve">Teori Iwasawa non-komutatif dlm bukti independen 2025</t>
  </si>
  <si>
    <t xml:space="preserve">Teori Selmer &amp; descent; Mazur-Rubin 2010</t>
  </si>
  <si>
    <t xml:space="preserve">Mazur-Rubin 2010, PR#10 undecidable dgn asumsi BSD</t>
  </si>
  <si>
    <t xml:space="preserve">Kai (peneliti)</t>
  </si>
  <si>
    <t xml:space="preserve">Generalisasi Green-Tao ke maximal orders, 2024-2025 -- TERVERIFIKASI (Tahap 1.5, web search): nama lengkap Wataru Kai, Assistant Professor Tohoku University, penulis 'Linear patterns of prime elements in number fields' (arXiv:2306.16983) -- memang dikutip persis di paper Koymans-Pagano 2024 &amp; Alpoge-Bhargava-Ho-Shnidman 2025 sbg 'Kai [ref]'. BUKAN halusinasi.</t>
  </si>
  <si>
    <t xml:space="preserve">Wataru Kai</t>
  </si>
  <si>
    <t xml:space="preserve">Bryan Birch</t>
  </si>
  <si>
    <t xml:space="preserve">Hipotesis Birch-Swinnerton-Dyer</t>
  </si>
  <si>
    <t xml:space="preserve">Peter Swinnerton-Dyer</t>
  </si>
  <si>
    <t xml:space="preserve">Bogdan Grechuk</t>
  </si>
  <si>
    <t xml:space="preserve">Buku 'Polynomial Diophantine Equations' 2024</t>
  </si>
  <si>
    <t xml:space="preserve">T.N. Shorey</t>
  </si>
  <si>
    <t xml:space="preserve">R. Tijdeman</t>
  </si>
  <si>
    <t xml:space="preserve">Gottlob Frege</t>
  </si>
  <si>
    <t xml:space="preserve">Formalisasi logika matematika awal</t>
  </si>
  <si>
    <t xml:space="preserve">Peter Gustav Lejeune Dirichlet</t>
  </si>
  <si>
    <t xml:space="preserve">Disebut dlm daftar tokoh teori bilangan era 1900</t>
  </si>
  <si>
    <t xml:space="preserve">Bernhard Riemann</t>
  </si>
  <si>
    <t xml:space="preserve">Hipotesis Riemann (Problem #8)</t>
  </si>
  <si>
    <t xml:space="preserve">Disebut dlm rantai 'Church -&gt; Turing -&gt; Post'</t>
  </si>
  <si>
    <t xml:space="preserve">Teorema Denef 1980an, PR#10 decidable utk F_p[[t]]</t>
  </si>
  <si>
    <t xml:space="preserve">Arul Shankar</t>
  </si>
  <si>
    <t xml:space="preserve">Ko-penulis Bhargava soal ternary cubic forms, 2015</t>
  </si>
  <si>
    <t xml:space="preserve">J. Coates</t>
  </si>
  <si>
    <t xml:space="preserve">Buku Cyclotomic Fields and Zeta Values, 2006</t>
  </si>
  <si>
    <t xml:space="preserve">R. Sujatha</t>
  </si>
  <si>
    <t xml:space="preserve">Douglas Hofstadter</t>
  </si>
  <si>
    <t xml:space="preserve">Gödel, Escher, Bach, 1979</t>
  </si>
  <si>
    <t xml:space="preserve">Roger Penrose</t>
  </si>
  <si>
    <t xml:space="preserve">The Emperor's New Mind, 1989</t>
  </si>
  <si>
    <t xml:space="preserve">David Ruelle</t>
  </si>
  <si>
    <t xml:space="preserve">The Mathematician's Brain, 2007</t>
  </si>
  <si>
    <t xml:space="preserve">William Byers</t>
  </si>
  <si>
    <t xml:space="preserve">How Mathematicians Think, 2007</t>
  </si>
  <si>
    <t xml:space="preserve">Simon Singh</t>
  </si>
  <si>
    <t xml:space="preserve">Fermat's Enigma, 1997</t>
  </si>
  <si>
    <t xml:space="preserve">John Derbyshire</t>
  </si>
  <si>
    <t xml:space="preserve">Prime Obsession, 2003</t>
  </si>
  <si>
    <t xml:space="preserve">Marcus du Sautoy</t>
  </si>
  <si>
    <t xml:space="preserve">The Music of the Primes, 2003</t>
  </si>
  <si>
    <t xml:space="preserve">Felix Browder</t>
  </si>
  <si>
    <t xml:space="preserve">Editor Mathematical Developments Arising from Hilbert Problems, 1976</t>
  </si>
  <si>
    <t xml:space="preserve">Benjamin Yandell</t>
  </si>
  <si>
    <t xml:space="preserve">The Honors Class: Hilbert's Problems and Their Solvers, 2002</t>
  </si>
  <si>
    <t xml:space="preserve">Ben H. Yandell</t>
  </si>
  <si>
    <t xml:space="preserve">Constance Reid</t>
  </si>
  <si>
    <t xml:space="preserve">Biografi Julia: A Life in Mathematics, 1996</t>
  </si>
  <si>
    <t xml:space="preserve">Charles Petzold</t>
  </si>
  <si>
    <t xml:space="preserve">The Annotated Turing, 2008</t>
  </si>
  <si>
    <t xml:space="preserve">Formalisme Matematika</t>
  </si>
  <si>
    <t xml:space="preserve">Optimisme bahwa setiap masalah terformalisasi bisa diputuskan</t>
  </si>
  <si>
    <t xml:space="preserve">Teori Bilangan Aljabar</t>
  </si>
  <si>
    <t xml:space="preserve">Fondasi teori bilangan modern (Gauss)</t>
  </si>
  <si>
    <t xml:space="preserve">Teori Himpunan</t>
  </si>
  <si>
    <t xml:space="preserve">Infinitas &amp; hierarki, kerangka kompleksitas masalah</t>
  </si>
  <si>
    <t xml:space="preserve">Teorema Incompleteness</t>
  </si>
  <si>
    <t xml:space="preserve">Batas sistem formal, 1931</t>
  </si>
  <si>
    <t xml:space="preserve">Teori Komputasi/Mesin Turing</t>
  </si>
  <si>
    <t xml:space="preserve">Definisi formal algoritma &amp; decidability</t>
  </si>
  <si>
    <t xml:space="preserve">Lambda Calculus</t>
  </si>
  <si>
    <t xml:space="preserve">Formalisasi komputasi independen, 1936</t>
  </si>
  <si>
    <t xml:space="preserve">Teorema Matiyasevich (MRDP)</t>
  </si>
  <si>
    <t xml:space="preserve">Jawaban negatif definitif PR#10, 1970</t>
  </si>
  <si>
    <t xml:space="preserve">Teori Bilangan Algoritmik</t>
  </si>
  <si>
    <t xml:space="preserve">Solvabilitas Diophantine sejak 1950an (Robinson)</t>
  </si>
  <si>
    <t xml:space="preserve">Logika Matematika (baris Davis)</t>
  </si>
  <si>
    <t xml:space="preserve">Representasi Diophantine himpunan RE, 1961</t>
  </si>
  <si>
    <t xml:space="preserve">Teori Himpunan &amp; Logika (baris Putnam)</t>
  </si>
  <si>
    <t xml:space="preserve">Setiap himpunan RE adalah Diophantine</t>
  </si>
  <si>
    <t xml:space="preserve">Teori Bilangan Kuadratik</t>
  </si>
  <si>
    <t xml:space="preserve">Teorema empat bilangan kuadrat; kelas Diophantine solvable</t>
  </si>
  <si>
    <t xml:space="preserve">Teori Bilangan Kuadratik &amp; kasus decidable (Lagrange)</t>
  </si>
  <si>
    <t xml:space="preserve">Contoh klasik yg solvable secara algoritmik</t>
  </si>
  <si>
    <t xml:space="preserve">Contoh Diophantine terkenal tanpa solusi</t>
  </si>
  <si>
    <t xml:space="preserve">Teorema Fermat Terakhir (contoh motivasi historis)</t>
  </si>
  <si>
    <t xml:space="preserve">Teori Kurva Eliptik</t>
  </si>
  <si>
    <t xml:space="preserve">Alat kelas khusus Diophantine (Mordell-Weil)</t>
  </si>
  <si>
    <t xml:space="preserve">Teori Bilangan Transendental</t>
  </si>
  <si>
    <t xml:space="preserve">Metode Thue-Siegel utk estimasi solusi</t>
  </si>
  <si>
    <t xml:space="preserve">Aritmatika Peano</t>
  </si>
  <si>
    <t xml:space="preserve">Fondasi logika teori bilangan</t>
  </si>
  <si>
    <t xml:space="preserve">Aritmetika Peano</t>
  </si>
  <si>
    <t xml:space="preserve">Teori Model</t>
  </si>
  <si>
    <t xml:space="preserve">Decidable vs undecidable (Tarski)</t>
  </si>
  <si>
    <t xml:space="preserve">Teori Kompleksitas</t>
  </si>
  <si>
    <t xml:space="preserve">NP-completeness, perspektif komputasional modern</t>
  </si>
  <si>
    <t xml:space="preserve">Teori Bilangan Komputasional</t>
  </si>
  <si>
    <t xml:space="preserve">Algoritma praktis kasus khusus</t>
  </si>
  <si>
    <t xml:space="preserve">Filosofi Matematika (Wittgenstein)</t>
  </si>
  <si>
    <t xml:space="preserve">Filosofi Matematika &amp; Batas Formalisme</t>
  </si>
  <si>
    <t xml:space="preserve">Teori Kategori</t>
  </si>
  <si>
    <t xml:space="preserve">Kerangka abstrak geometri aljabar modern</t>
  </si>
  <si>
    <t xml:space="preserve">Teorema Roth</t>
  </si>
  <si>
    <t xml:space="preserve">Aproksimasi Diophantine 1955</t>
  </si>
  <si>
    <t xml:space="preserve">Teori Bilangan Analitik</t>
  </si>
  <si>
    <t xml:space="preserve">Metode lingkaran, distribusi prima</t>
  </si>
  <si>
    <t xml:space="preserve">Teori Automata</t>
  </si>
  <si>
    <t xml:space="preserve">Hierarki Chomsky, klasifikasi masalah komputasi</t>
  </si>
  <si>
    <t xml:space="preserve">Teorema Green-Tao</t>
  </si>
  <si>
    <t xml:space="preserve">Barisan aritmatika prima tak terhingga, 2004</t>
  </si>
  <si>
    <t xml:space="preserve">H10 Ring Berhingga yang Dihasilkan (Koymans-Pagano)</t>
  </si>
  <si>
    <t xml:space="preserve">Undecidable utk setiap ring berhingga yg dihasilkan, 2024-2025</t>
  </si>
  <si>
    <t xml:space="preserve">H10 Ring Berhingga (Bukti Independen ABHS)</t>
  </si>
  <si>
    <t xml:space="preserve">Konfirmasi via varietas abelian &amp; Iwasawa non-komutatif, 2025</t>
  </si>
  <si>
    <t xml:space="preserve">Teori Selmer &amp; Descent pada Kurva Eliptik</t>
  </si>
  <si>
    <t xml:space="preserve">Fondasi pembuktian Koymans-Pagano &amp; Bhargava dkk.</t>
  </si>
  <si>
    <t xml:space="preserve">Grup/Teori Selmer &amp; Descent (kurva eliptik)</t>
  </si>
  <si>
    <t xml:space="preserve">Kombinatorika Aritmetika</t>
  </si>
  <si>
    <t xml:space="preserve">Generalisasi Green-Tao ke maximal orders</t>
  </si>
  <si>
    <t xml:space="preserve">H10 atas Q (Masalah Terbuka)</t>
  </si>
  <si>
    <t xml:space="preserve">Hipotesis BSD</t>
  </si>
  <si>
    <t xml:space="preserve">Millennium Problem; dasar pembuktian Mazur-Rubin (asumsi)</t>
  </si>
  <si>
    <t xml:space="preserve">Konjektur Birch-Swinnerton-Dyer (BSD)</t>
  </si>
  <si>
    <t xml:space="preserve">Teori Varietas Abelian</t>
  </si>
  <si>
    <t xml:space="preserve">Generalisasi kurva eliptik dimensi tinggi (bukti independen 2025)</t>
  </si>
  <si>
    <t xml:space="preserve">Teori Iwasawa Non-Komutatif</t>
  </si>
  <si>
    <t xml:space="preserve">Alat bukti independen ABHS 2025</t>
  </si>
  <si>
    <t xml:space="preserve">Kriptografi &amp; Persamaan Diophantine</t>
  </si>
  <si>
    <t xml:space="preserve">ECC, lattice-based crypto; kelas khusus tetap penting praktis</t>
  </si>
  <si>
    <t xml:space="preserve">Pendekatan Sistematis untuk Persamaan Diophantine (Grechuk)</t>
  </si>
  <si>
    <t xml:space="preserve">Sintesis metode klasik &amp; modern kelas khusus, 2024</t>
  </si>
  <si>
    <t xml:space="preserve">Variabel sbg eksponen; sdh tercakup implisit MRDP</t>
  </si>
  <si>
    <t xml:space="preserve">Problem Hilbert #1 (Kontinuum Hypothesis)</t>
  </si>
  <si>
    <t xml:space="preserve">Independen dari ZFC; paralel dgn PR#10</t>
  </si>
  <si>
    <t xml:space="preserve">Terbukti mustahil scr finitistik oleh Gödel</t>
  </si>
  <si>
    <t xml:space="preserve">Problem Hilbert #8 (Hipotesis Riemann)</t>
  </si>
  <si>
    <t xml:space="preserve">Terkait distribusi solusi bilangan bulat</t>
  </si>
  <si>
    <t xml:space="preserve">Hilbert's Program (disebut eksplisit)</t>
  </si>
  <si>
    <t xml:space="preserve">Konsistensi, kelengkapan, keputusan -- mulai goyah pasca-Gödel</t>
  </si>
  <si>
    <t xml:space="preserve">Definisi (bukan teorema) kesetaraan formalisasi algoritma</t>
  </si>
  <si>
    <t xml:space="preserve">Versi umum PR#10 utk logika predikat</t>
  </si>
  <si>
    <t xml:space="preserve">Bukti parsial Matiyasevich-Robinson (1975) untuk Q</t>
  </si>
  <si>
    <t xml:space="preserve">Kasus khusus H10 atas Q yg sudah terselesaikan</t>
  </si>
  <si>
    <t xml:space="preserve">Teorema Abel-Ruffini (analogi)</t>
  </si>
  <si>
    <t xml:space="preserve">Analogi 'kekalahan yg membebaskan' utk hasil negatif PR#10</t>
  </si>
  <si>
    <t xml:space="preserve">Analogi prinsip ketidakpastian Heisenberg</t>
  </si>
  <si>
    <t xml:space="preserve">Analogi batasan intrinsik dgn fisika</t>
  </si>
  <si>
    <t xml:space="preserve">Tate-Shafarevich (grup)</t>
  </si>
  <si>
    <t xml:space="preserve">Alat teknis kurva eliptik, bersama teori Selmer &amp; descent</t>
  </si>
  <si>
    <t xml:space="preserve">Analogi Teorema Empat Warna (Appel-Haken, 1976)</t>
  </si>
  <si>
    <t xml:space="preserve">Analogi bukti berbantuan-komputer vs pena-kertas</t>
  </si>
  <si>
    <t xml:space="preserve">Kolaborasi Perang Dingin AS-Uni Soviet</t>
  </si>
  <si>
    <t xml:space="preserve">Dimensi manusiawi kolaborasi MRDP lintas Tirai Besi</t>
  </si>
  <si>
    <t xml:space="preserve">Apakah fisika bisa diaksiomatisasi?</t>
  </si>
  <si>
    <t xml:space="preserve">Perumus PR#10, 1900</t>
  </si>
  <si>
    <t xml:space="preserve">CO</t>
  </si>
  <si>
    <t xml:space="preserve">Tradisi persamaan Diofantin klasik</t>
  </si>
  <si>
    <t xml:space="preserve">Tradisi persamaan Diofantin klasik; Fermat kecil &amp; Last Theorem</t>
  </si>
  <si>
    <t xml:space="preserve">Pendekatan komputabilitas awal, 1950-60an</t>
  </si>
  <si>
    <t xml:space="preserve">Pendekatan komputabilitas awal; Hipotesis J.R.</t>
  </si>
  <si>
    <t xml:space="preserve">Teorema MRDP, 1970</t>
  </si>
  <si>
    <t xml:space="preserve">Tradisi logika &amp; teori komputabilitas, 1936</t>
  </si>
  <si>
    <t xml:space="preserve">Ekstensi PR#10 ke ring lain via kurva eliptik</t>
  </si>
  <si>
    <t xml:space="preserve">Jochen Koenigsmann</t>
  </si>
  <si>
    <t xml:space="preserve">Mendefinisikan Z dalam Q; frontier PR#10</t>
  </si>
  <si>
    <t xml:space="preserve">Elliptic curves &amp; definability</t>
  </si>
  <si>
    <t xml:space="preserve">Revolusi Koymans-Pagano, 2025-2026</t>
  </si>
  <si>
    <t xml:space="preserve">Green-Tao sieve extension, 2026</t>
  </si>
  <si>
    <t xml:space="preserve">Kai (2026)</t>
  </si>
  <si>
    <t xml:space="preserve">Green-Tao sieve extension -- TERVERIFIKASI (Tahap 1.5): nama lengkap Wataru Kai, Tohoku University, hasil arXiv:2306.16983 memang dikutip di paper Koymans-Pagano &amp; ABHS. JUGA muncul di draft KI dgn klaim serupa &amp; sama-sama terverifikasi akurat. BUKAN halusinasi.</t>
  </si>
  <si>
    <t xml:space="preserve">Jonathan Brossard</t>
  </si>
  <si>
    <t xml:space="preserve">Verifikasi formal &amp; komputasi konstruktif dgn Rocq/Coq, 2026 -- TERVERIFIKASI (Tahap 1.5, web search): paper riil arXiv:2604.16477 'A Constructive Proof of Rice's Theorem and the Halting Problem via Hilbert's Tenth Problem', terbit April 2026 (setelah cutoff pengetahuan Claude, karena itu awalnya tak bisa dikonfirmasi dari memori). Deskripsi CO (Rocq, logika intuisionistik, Rice's theorem+halting problem via MRDP) match persis dgn abstrak asli. BUKAN halusinasi.</t>
  </si>
  <si>
    <t xml:space="preserve">Formulasi Masalah Hilbert #10</t>
  </si>
  <si>
    <t xml:space="preserve">Merumuskan pertanyaan algoritmik solvabilitas persamaan Diofantin</t>
  </si>
  <si>
    <t xml:space="preserve">Persamaan Diofantin klasik</t>
  </si>
  <si>
    <t xml:space="preserve">Pendekatan komputabilitas awal (DPR)</t>
  </si>
  <si>
    <t xml:space="preserve">Hubungan persamaan Diofantin dgn himpunan recursively enumerable</t>
  </si>
  <si>
    <t xml:space="preserve">PR#10 undecidable, 1970</t>
  </si>
  <si>
    <t xml:space="preserve">Hipotesis Julia Robinson</t>
  </si>
  <si>
    <t xml:space="preserve">Jembatan menuju hasil MRDP</t>
  </si>
  <si>
    <t xml:space="preserve">Hubungan dengan teori komputabilitas</t>
  </si>
  <si>
    <t xml:space="preserve">PR#10 terkait batas kemampuan mesin Turing</t>
  </si>
  <si>
    <t xml:space="preserve">Persamaan Diofantin untuk medan lain</t>
  </si>
  <si>
    <t xml:space="preserve">Perluasan ke Q, medan bilangan, subring</t>
  </si>
  <si>
    <t xml:space="preserve">Filsafat matematika</t>
  </si>
  <si>
    <t xml:space="preserve">Refleksi apakah kebenaran aritmetika dpt diketahui algoritmik</t>
  </si>
  <si>
    <t xml:space="preserve">Mendefinisikan Z dlm ring lain via rank kurva eliptik</t>
  </si>
  <si>
    <t xml:space="preserve">Koymans-Pagano Revolution</t>
  </si>
  <si>
    <t xml:space="preserve">Hasil definitif utk semua ring finitely generated</t>
  </si>
  <si>
    <t xml:space="preserve">Green-Tao sieve extension</t>
  </si>
  <si>
    <t xml:space="preserve">Memperkuat teknik probabilistik dlm konteks PR#10</t>
  </si>
  <si>
    <t xml:space="preserve">Constructive computability &amp; formal verification</t>
  </si>
  <si>
    <t xml:space="preserve">Bukti konstruktif &amp; verifikasi formal dgn Rocq (Coq)</t>
  </si>
  <si>
    <t xml:space="preserve">Frontier untuk Q (masih terbuka)</t>
  </si>
  <si>
    <t xml:space="preserve">PR#10 atas Q blm terpecahkan, terkait BSD</t>
  </si>
  <si>
    <t xml:space="preserve">Terkait erat dgn frontier PR#10 atas Q</t>
  </si>
  <si>
    <t xml:space="preserve">Bagian tradisi teori bilangan yg jadi latar PR#10</t>
  </si>
  <si>
    <t xml:space="preserve">Teorema Fermat Kecil</t>
  </si>
  <si>
    <t xml:space="preserve">Fermat's Last Theorem</t>
  </si>
  <si>
    <t xml:space="preserve">Halting problem</t>
  </si>
  <si>
    <t xml:space="preserve">Analogi persamaan Diofantin meniru mesin komputasi</t>
  </si>
  <si>
    <t xml:space="preserve">Rice's theorem</t>
  </si>
  <si>
    <t xml:space="preserve">Diklaim terkait bukti konstruktif Brossard -- klaim dasarnya TERVERIFIKASI akurat (lihat entri Tokoh Jonathan Brossard), tapi istilah 'Rice's theorem' scr literal memang tak diulang lagi di teks Bab 12 MVC</t>
  </si>
  <si>
    <t xml:space="preserve">Kerangka logika intuisionistik</t>
  </si>
  <si>
    <t xml:space="preserve">Dasar filosofis verifikasi formal Brossard</t>
  </si>
  <si>
    <t xml:space="preserve">Perumus PR#10, 1900; semboyan 'Wir müssen wissen'</t>
  </si>
  <si>
    <t xml:space="preserve">GE</t>
  </si>
  <si>
    <t xml:space="preserve">Asal nama persamaan Diophantine</t>
  </si>
  <si>
    <t xml:space="preserve">Bukti akhir Teorema MRDP, 1970</t>
  </si>
  <si>
    <t xml:space="preserve">Hipotesis J.R. &amp; deret Fibonacci</t>
  </si>
  <si>
    <t xml:space="preserve">Penyederhanaan masalah (formulasi Davis)</t>
  </si>
  <si>
    <t xml:space="preserve">Teorema ketidaklengkapan</t>
  </si>
  <si>
    <t xml:space="preserve">Mesin Turing; Halting Problem</t>
  </si>
  <si>
    <t xml:space="preserve">Lambda Calculus, logika matematika modern</t>
  </si>
  <si>
    <t xml:space="preserve">Kriteria kurva eliptik &amp; finitely generated rings</t>
  </si>
  <si>
    <t xml:space="preserve">Terobosan 2025-2026, finitely generated rings</t>
  </si>
  <si>
    <t xml:space="preserve">Thomas L. Heath</t>
  </si>
  <si>
    <t xml:space="preserve">Sejarawan, 'Diophantus of Alexandria: A Study...' 1910</t>
  </si>
  <si>
    <t xml:space="preserve">Bukti independen H10 ring bilangan bulat, Feb 2025</t>
  </si>
  <si>
    <t xml:space="preserve">Gregory Chaitin</t>
  </si>
  <si>
    <t xml:space="preserve">'Meta Math!: The Quest for Omega' 2005, estetika matematika acak</t>
  </si>
  <si>
    <t xml:space="preserve">Daftar 23 Masalah Matematika (Hilbert 1900)</t>
  </si>
  <si>
    <t xml:space="preserve">Konteks perumusan PR#10 sbg bagian dari 23 masalah</t>
  </si>
  <si>
    <t xml:space="preserve">Bukti akhir undecidability PR#10</t>
  </si>
  <si>
    <t xml:space="preserve">Hipotesis J.R. &amp; Deret Fibonacci</t>
  </si>
  <si>
    <t xml:space="preserve">Kunci teknis menuju bukti Matiyasevich</t>
  </si>
  <si>
    <t xml:space="preserve">Penyederhanaan Masalah (recursively enumerable sets)</t>
  </si>
  <si>
    <t xml:space="preserve">Formulasi Davis-Putnam menuju bukti akhir</t>
  </si>
  <si>
    <t xml:space="preserve">Meretakkan keyakinan Hilbert</t>
  </si>
  <si>
    <t xml:space="preserve">Masalah Berhenti (Halting Problem)</t>
  </si>
  <si>
    <t xml:space="preserve">Analog PR#10 dgn undecidability komputasi</t>
  </si>
  <si>
    <t xml:space="preserve">Logika Matematika Modern (Lambda Calculus)</t>
  </si>
  <si>
    <t xml:space="preserve">Dukungan konsep batasan algoritma</t>
  </si>
  <si>
    <t xml:space="preserve">Kriteria Kurva Eliptik &amp; Finitely Generated Rings</t>
  </si>
  <si>
    <t xml:space="preserve">Membuka jalan modern generalisasi PR#10</t>
  </si>
  <si>
    <t xml:space="preserve">Terobosan Akhir Kontemporer 2025-2026 (Koymans-Pagano)</t>
  </si>
  <si>
    <t xml:space="preserve">PR#10 undecidable utk infinite finitely generated rings</t>
  </si>
  <si>
    <t xml:space="preserve">Garis Batas Rasional Q</t>
  </si>
  <si>
    <t xml:space="preserve">Frontier riset PR#10 yg masih terbuka</t>
  </si>
  <si>
    <t xml:space="preserve">Semboyan "Wir müssen wissen, wir werden wissen"</t>
  </si>
  <si>
    <t xml:space="preserve">Optimisme filosofis Hilbert</t>
  </si>
  <si>
    <t xml:space="preserve">Formalisme matematika (gerakan Hilbert)</t>
  </si>
  <si>
    <t xml:space="preserve">Gerakan filosofis di balik 23 Masalah</t>
  </si>
  <si>
    <t xml:space="preserve">"Mathematische Probleme" (judul asli pidato Hilbert)</t>
  </si>
  <si>
    <t xml:space="preserve">Judul asli publikasi 1900</t>
  </si>
  <si>
    <t xml:space="preserve">PR#10 &amp; batas Artificial Intelligence</t>
  </si>
  <si>
    <t xml:space="preserve">Relevansi PR#10 bagi ketahanan sistem AI modern</t>
  </si>
  <si>
    <t xml:space="preserve">PR#10 &amp; batas Artificial Intelligence modern</t>
  </si>
  <si>
    <t xml:space="preserve">Perumus PR#10, 1900; Formalisme &amp; Aksiomatisasi</t>
  </si>
  <si>
    <t xml:space="preserve">TE</t>
  </si>
  <si>
    <t xml:space="preserve">Asal nama persamaan Diophantine, Alexandria</t>
  </si>
  <si>
    <t xml:space="preserve">Teorema Terakhir Fermat sbg contoh Diophantine terkenal</t>
  </si>
  <si>
    <t xml:space="preserve">Mesin Turing; definisi formal algoritma</t>
  </si>
  <si>
    <t xml:space="preserve">Church-Turing Thesis, lambda calculus</t>
  </si>
  <si>
    <t xml:space="preserve">Hipotesis JR; Teorema DPR</t>
  </si>
  <si>
    <t xml:space="preserve">Teorema DPR 1961</t>
  </si>
  <si>
    <t xml:space="preserve">Bukti akhir 1970 via Fibonacci</t>
  </si>
  <si>
    <t xml:space="preserve">Kurva eliptik &amp; metode descent utk HTP</t>
  </si>
  <si>
    <t xml:space="preserve">James P. Jones</t>
  </si>
  <si>
    <t xml:space="preserve">Polinomial universal 26-variabel, 1976</t>
  </si>
  <si>
    <t xml:space="preserve">Daihachiro Sato</t>
  </si>
  <si>
    <t xml:space="preserve">Hideo Wada</t>
  </si>
  <si>
    <t xml:space="preserve">Douglas Wiens</t>
  </si>
  <si>
    <t xml:space="preserve">PR#10 atas Q; buku HTP diophantine classes</t>
  </si>
  <si>
    <t xml:space="preserve">Kasus linear/kuadratik decidable; sejarah teori bilangan</t>
  </si>
  <si>
    <t xml:space="preserve">Sistem aritmetika formal tempat HTP dinyatakan</t>
  </si>
  <si>
    <t xml:space="preserve">Terobosan finitely generated rings 2024-2026</t>
  </si>
  <si>
    <t xml:space="preserve">Kirsten Eisentrager</t>
  </si>
  <si>
    <t xml:space="preserve">Varian PR#10 utk finitely generated rings</t>
  </si>
  <si>
    <t xml:space="preserve">Hipotesis Mazur ttg topologi titik rasional</t>
  </si>
  <si>
    <t xml:space="preserve">PR#10 atas R: decidable via Tarski-Seidenberg</t>
  </si>
  <si>
    <t xml:space="preserve">Abraham Seidenberg</t>
  </si>
  <si>
    <t xml:space="preserve">Dominik Kirst</t>
  </si>
  <si>
    <t xml:space="preserve">Formal verifikasi bukti MRDP dlm Coq, 2019 -- CEK ATRIBUSI (Tahap 1.5, web search): Kirst adl kontributor riil proyek 'coq-library-undecidability', TAPI paper spesifik 'Hilbert's Tenth Problem in Coq' (2019/2020) penulisnya adl Larchey-Wendling &amp; Forster (bkn Kirst) -- Kirst co-author paper TERKAIT ttg Entscheidungsproblem/synthetic undecidability (Forster-Kirst-Smolka 2019), bukan MRDP scr spesifik. Pasangan yg akurat: Larchey-Wendling+Forster (lih. draft ME).</t>
  </si>
  <si>
    <t xml:space="preserve">Yannick Forster</t>
  </si>
  <si>
    <t xml:space="preserve">Formal verifikasi bukti MRDP dlm Coq, 2019</t>
  </si>
  <si>
    <t xml:space="preserve">Tokoh sejarah penakluk persamaan khusus era pra-modern</t>
  </si>
  <si>
    <t xml:space="preserve">Lagrange</t>
  </si>
  <si>
    <t xml:space="preserve">Teorema empat bilangan kuadrat; tokoh sejarah teori bilangan</t>
  </si>
  <si>
    <t xml:space="preserve">Aristoteles</t>
  </si>
  <si>
    <t xml:space="preserve">Rujukan sejarah logika pra-formal -- sangat tangensial</t>
  </si>
  <si>
    <t xml:space="preserve">Sistem produksi &amp; Post's Correspondence Problem, 1944</t>
  </si>
  <si>
    <t xml:space="preserve">'The Honors Class: Hilbert's Problems and Their Solvers' 2001</t>
  </si>
  <si>
    <t xml:space="preserve">Biografi 'Hilbert', 1970</t>
  </si>
  <si>
    <t xml:space="preserve">'Diophantus of Alexandria: A Study...' 1910</t>
  </si>
  <si>
    <t xml:space="preserve">'Number Theory: An Approach Through History' 1984</t>
  </si>
  <si>
    <t xml:space="preserve">'The Annotated Turing' 2008</t>
  </si>
  <si>
    <t xml:space="preserve">'Turing Computability' 2016</t>
  </si>
  <si>
    <t xml:space="preserve">Timothy Gowers</t>
  </si>
  <si>
    <t xml:space="preserve">Editor 'The Princeton Companion to Mathematics' 2008</t>
  </si>
  <si>
    <t xml:space="preserve">Ernest Nagel</t>
  </si>
  <si>
    <t xml:space="preserve">'Gödel's Proof' 1958</t>
  </si>
  <si>
    <t xml:space="preserve">James R. Newman</t>
  </si>
  <si>
    <t xml:space="preserve">Torkel Franzén</t>
  </si>
  <si>
    <t xml:space="preserve">'Gödel's Theorem: An Incomplete Guide to Its Use and Abuse' 2005</t>
  </si>
  <si>
    <t xml:space="preserve">Reuben Hersh</t>
  </si>
  <si>
    <t xml:space="preserve">'What Is Mathematics, Really?' 1997</t>
  </si>
  <si>
    <t xml:space="preserve">'Gödel, Escher, Bach' 1979; pengantar edisi revisi 'Gödel's Proof'</t>
  </si>
  <si>
    <t xml:space="preserve">Masha Gessen</t>
  </si>
  <si>
    <t xml:space="preserve">'Perfect Rigor' 2009 -- rujukan gaya penulisan, bukan isi matematis</t>
  </si>
  <si>
    <t xml:space="preserve">Amir Alexander</t>
  </si>
  <si>
    <t xml:space="preserve">'Proof!'/'Infinitesimal' -- rujukan gaya penulisan sejarah matematika</t>
  </si>
  <si>
    <t xml:space="preserve">John H. Zammito</t>
  </si>
  <si>
    <t xml:space="preserve">'A Nice Derangement of Epistemes' 2004</t>
  </si>
  <si>
    <t xml:space="preserve">Pernyataan Masalah ke-10 Hilbert</t>
  </si>
  <si>
    <t xml:space="preserve">Rumusan tantangan eksplisit PR#10</t>
  </si>
  <si>
    <t xml:space="preserve">Formalisme &amp; Aksiomatisasi</t>
  </si>
  <si>
    <t xml:space="preserve">Latar filosofis gerakan Hilbert</t>
  </si>
  <si>
    <t xml:space="preserve">Teorema Inkompleteness Gödel</t>
  </si>
  <si>
    <t xml:space="preserve">Batasan intrinsik sistem aksiomatis</t>
  </si>
  <si>
    <t xml:space="preserve">Mesin Turing &amp; Konsep Algoritma</t>
  </si>
  <si>
    <t xml:space="preserve">Definisi formal 'prosedur efektif'</t>
  </si>
  <si>
    <t xml:space="preserve">Church-Turing Thesis</t>
  </si>
  <si>
    <t xml:space="preserve">Kesetaraan model computability</t>
  </si>
  <si>
    <t xml:space="preserve">Teorema Ketidakputusan (Undecidability)</t>
  </si>
  <si>
    <t xml:space="preserve">Kelas masalah tanpa decision procedure</t>
  </si>
  <si>
    <t xml:space="preserve">Undecidability (konsep umum)</t>
  </si>
  <si>
    <t xml:space="preserve">Kondisi fungsi eksponensial Diophantine</t>
  </si>
  <si>
    <t xml:space="preserve">Teorema DPR (Davis-Putnam-Robinson)</t>
  </si>
  <si>
    <t xml:space="preserve">Himpunan RE = proyeksi himpunan Diophantine</t>
  </si>
  <si>
    <t xml:space="preserve">Teori Bilangan (Number Theory)</t>
  </si>
  <si>
    <t xml:space="preserve">Bidang studi utama yg menaungi PR#10</t>
  </si>
  <si>
    <t xml:space="preserve">Teori Kompleksitas Komputasi</t>
  </si>
  <si>
    <t xml:space="preserve">Efisiensi algoritma jika hipotetis ada</t>
  </si>
  <si>
    <t xml:space="preserve">Persamaan Pell sbg Inti Bukti MRDP</t>
  </si>
  <si>
    <t xml:space="preserve">Solusi y_n(a) sbg alat bukti Fibonacci Diophantine</t>
  </si>
  <si>
    <t xml:space="preserve">Persamaan Diophantine Universal (Bounded Variables)</t>
  </si>
  <si>
    <t xml:space="preserve">Polinomial universal 13/26-variabel</t>
  </si>
  <si>
    <t xml:space="preserve">Persamaan Diophantine Universal (bounded variables)</t>
  </si>
  <si>
    <t xml:space="preserve">PR#10 utk Bilangan Rasional Q</t>
  </si>
  <si>
    <t xml:space="preserve">Masalah terbuka utama pasca-1970</t>
  </si>
  <si>
    <t xml:space="preserve">Teori Kurva Eliptik &amp; Metode Descent</t>
  </si>
  <si>
    <t xml:space="preserve">Pendekatan modern HTP atas ring tertentu</t>
  </si>
  <si>
    <t xml:space="preserve">Kasus Linear &amp; Kuadratik (Subkelas Decidable)</t>
  </si>
  <si>
    <t xml:space="preserve">Kontras dgn undecidability MRDP</t>
  </si>
  <si>
    <t xml:space="preserve">"Hilbert's Program" (istilah eksplisit)</t>
  </si>
  <si>
    <t xml:space="preserve">Semangat mekanisasi matematika yg coba dilanjutkan formal verifiers</t>
  </si>
  <si>
    <t xml:space="preserve">Sistem formal tempat PR#10 dinyatakan</t>
  </si>
  <si>
    <t xml:space="preserve">Varian PR#10 utk Finitely Generated Rings</t>
  </si>
  <si>
    <t xml:space="preserve">Generalisasi HTP undecidable ke semua ring berhingga</t>
  </si>
  <si>
    <t xml:space="preserve">Hipotesis Mazur &amp; Implikasi HTP/Q</t>
  </si>
  <si>
    <t xml:space="preserve">Indikasi HTP/Q undecidable via topologi titik rasional</t>
  </si>
  <si>
    <t xml:space="preserve">Aritmetika Kombinatorik dlm Bukti HTP Modern</t>
  </si>
  <si>
    <t xml:space="preserve">Teknik Koymans-Pagano 2026</t>
  </si>
  <si>
    <t xml:space="preserve">PR#10 utk Bilangan Real &amp; Kompleks</t>
  </si>
  <si>
    <t xml:space="preserve">Kontras decidable/trivial vs undecidable ℤ</t>
  </si>
  <si>
    <t xml:space="preserve">Formal Verifikasi Bukti MRDP (Coq)</t>
  </si>
  <si>
    <t xml:space="preserve">Formalisasi bukti undecidability dlm proof assistant, 2019</t>
  </si>
  <si>
    <t xml:space="preserve">Masalah keputusan umum yg jadi cita-cita Hilbert</t>
  </si>
  <si>
    <t xml:space="preserve">Nomor Gödel (Gödel numbering)</t>
  </si>
  <si>
    <t xml:space="preserve">Teknik mengubah sintaks jadi aritmetika</t>
  </si>
  <si>
    <t xml:space="preserve">Post's Correspondence Problem (PCP)</t>
  </si>
  <si>
    <t xml:space="preserve">Representasi alternatif komputasi universal</t>
  </si>
  <si>
    <t xml:space="preserve">Halting Problem (Masalah Henting)</t>
  </si>
  <si>
    <t xml:space="preserve">Paralel dgn ketidakputusan HTP</t>
  </si>
  <si>
    <t xml:space="preserve">Word Problem for Groups</t>
  </si>
  <si>
    <t xml:space="preserve">Masalah keputusan terkait lain</t>
  </si>
  <si>
    <t xml:space="preserve">Batas variabel/derajat HTP pasca-MRDP</t>
  </si>
  <si>
    <t xml:space="preserve">Apakah undecidability bertahan jika variabel/derajat dibatasi?</t>
  </si>
  <si>
    <t xml:space="preserve">Zero-knowledge proofs</t>
  </si>
  <si>
    <t xml:space="preserve">Aplikasi kriptografi terkait verifikasi himpunan Diophantine</t>
  </si>
  <si>
    <t xml:space="preserve">Hipotesis konjektural yg berpotensi buka jalan bukti HTP/Q</t>
  </si>
  <si>
    <t xml:space="preserve">abc conjecture</t>
  </si>
  <si>
    <t xml:space="preserve">Hipotesis konjektural terkait HTP/Q</t>
  </si>
  <si>
    <t xml:space="preserve">Perdebatan Platonisme vs Formalisme vs Konstruktivisme</t>
  </si>
  <si>
    <t xml:space="preserve">Kerangka filosofis membaca makna HTP</t>
  </si>
  <si>
    <t xml:space="preserve">Perdebatan filosofis Platonisme/Formalisme/Konstruktivisme</t>
  </si>
  <si>
    <t xml:space="preserve">Kolaborasi/Perang Dingin lintas benua (Princeton-Moskow)</t>
  </si>
  <si>
    <t xml:space="preserve">Dimensi historis-politis penyelesaian MRDP</t>
  </si>
  <si>
    <t xml:space="preserve">Komputasi kuantum &amp; batas decidability</t>
  </si>
  <si>
    <t xml:space="preserve">Spekulasi apakah kuantum bisa 'melewati' undecidability</t>
  </si>
  <si>
    <t xml:space="preserve">Komputasi Kuantum &amp; implikasi bagi (un)decidability</t>
  </si>
  <si>
    <t xml:space="preserve">PE</t>
  </si>
  <si>
    <t xml:space="preserve">Mesin Turing; Halting Problem; Entscheidungsproblem</t>
  </si>
  <si>
    <t xml:space="preserve">Lambda calculus; Entscheidungsproblem tak terpecahkan</t>
  </si>
  <si>
    <t xml:space="preserve">Kondisi hiperbola &amp; eksponensial; fondasi MRDP</t>
  </si>
  <si>
    <t xml:space="preserve">Ide reduksi RE ke Diophantine, 1950an</t>
  </si>
  <si>
    <t xml:space="preserve">Penyempurnaan reduksi &amp; hipotesis eksponensial</t>
  </si>
  <si>
    <t xml:space="preserve">Melengkapi bukti MRDP, 1970, via Fibonacci</t>
  </si>
  <si>
    <t xml:space="preserve">Ko-perumus Entscheidungsproblem bersama Hilbert</t>
  </si>
  <si>
    <t xml:space="preserve">Carl Gustav Bachet</t>
  </si>
  <si>
    <t xml:space="preserve">Editor/penerjemah Arithmetica Diophantus, abad 17</t>
  </si>
  <si>
    <t xml:space="preserve">Teori bilangan klasik: linear &amp; kuadratik</t>
  </si>
  <si>
    <t xml:space="preserve">Teori bilangan klasik; eliminasi Gauss sbg contoh prosedur efektif</t>
  </si>
  <si>
    <t xml:space="preserve">Teorema ketidaklengkapan 1931, konteks filosofis PR#10</t>
  </si>
  <si>
    <t xml:space="preserve">Terobosan finitely generated rings, 2024-2025</t>
  </si>
  <si>
    <t xml:space="preserve">Bukti independen 2025-2026, ring finitely generated</t>
  </si>
  <si>
    <t xml:space="preserve">Bukti independen 2025-2026 -- TERVERIFIKASI (Tahap 1.5, web search): nama benar 'Wei Ho' (dikonfirmasi via Wikipedia &amp; sitasi paper asli arXiv:2501.18774). Draft PE keliru menulis 'C. Ho' scr konsisten di Tabel &amp; Daftar Pustaka -- ini galat faktual PE, bukan sekadar dugaan typo.</t>
  </si>
  <si>
    <t xml:space="preserve">Kontribusi HTP atas Q, masih terbuka</t>
  </si>
  <si>
    <t xml:space="preserve">Jonas Bayer</t>
  </si>
  <si>
    <t xml:space="preserve">Batas kompleksitas (ν,δ) universal &amp; formalisasi Isabelle/HOL, 2025</t>
  </si>
  <si>
    <t xml:space="preserve">Teori bilangan klasik era Bachet-Fermat-Euler-Gauss</t>
  </si>
  <si>
    <t xml:space="preserve">Euclid</t>
  </si>
  <si>
    <t xml:space="preserve">Algoritma Euclid sbg contoh 'prosedur efektif' pra-1930 -- tangensial</t>
  </si>
  <si>
    <t xml:space="preserve">Program Fondasi Matematika &amp; Aksiomatisasi</t>
  </si>
  <si>
    <t xml:space="preserve">Latar filosofis Hilbert</t>
  </si>
  <si>
    <t xml:space="preserve">Teori Komputabilitas &amp; Algoritma</t>
  </si>
  <si>
    <t xml:space="preserve">Kerangka formal utk bukti ketidakmungkinan</t>
  </si>
  <si>
    <t xml:space="preserve">Lambda Calculus &amp; Effective Computability</t>
  </si>
  <si>
    <t xml:space="preserve">Formalisasi Church, 1936</t>
  </si>
  <si>
    <t xml:space="preserve">Representasi Diophantine dari Fungsi Rekursif</t>
  </si>
  <si>
    <t xml:space="preserve">Kondisi kunci representasi (Robinson)</t>
  </si>
  <si>
    <t xml:space="preserve">Reduksi dari Masalah Komputasi ke Diophantine</t>
  </si>
  <si>
    <t xml:space="preserve">Kerangka Davis: RE mungkin = Diophantine</t>
  </si>
  <si>
    <t xml:space="preserve">Hipotesis Eksponensial (Putnam-Robinson)</t>
  </si>
  <si>
    <t xml:space="preserve">Syarat representasi fungsi eksponensial scr Diophantine</t>
  </si>
  <si>
    <t xml:space="preserve">Bukti akhir undecidability, 1970</t>
  </si>
  <si>
    <t xml:space="preserve">PR#10 sbg kasus khusus masalah keputusan umum</t>
  </si>
  <si>
    <t xml:space="preserve">Teori Bilangan Klasik (Linear &amp; Kuadratik)</t>
  </si>
  <si>
    <t xml:space="preserve">Subkelas decidable, kontras dgn PR#10 umum</t>
  </si>
  <si>
    <t xml:space="preserve">Mesin Turing &amp; Halting Problem</t>
  </si>
  <si>
    <t xml:space="preserve">Reduksi modern undecidability PR#10</t>
  </si>
  <si>
    <t xml:space="preserve">Recursively Enumerable vs Recursive Sets</t>
  </si>
  <si>
    <t xml:space="preserve">Inti argumen undecidability</t>
  </si>
  <si>
    <t xml:space="preserve">Varian PR#10 utk Ring/Field Lain</t>
  </si>
  <si>
    <t xml:space="preserve">Perluasan pertanyaan Hilbert ke domain lain</t>
  </si>
  <si>
    <t xml:space="preserve">PR#10 sbg contoh konkret batas program Hilbert</t>
  </si>
  <si>
    <t xml:space="preserve">PR#10 Ring Finitely Generated atas Z</t>
  </si>
  <si>
    <t xml:space="preserve">Generalisasi masif ketidakputusan, 2024-2026</t>
  </si>
  <si>
    <t xml:space="preserve">Kombinatorika Aditif &amp; Kurva Eliptik</t>
  </si>
  <si>
    <t xml:space="preserve">Metode baru Koymans-Pagano-Alpöge dkk.</t>
  </si>
  <si>
    <t xml:space="preserve">PR#10 utk Field Bilangan Rasional Q</t>
  </si>
  <si>
    <t xml:space="preserve">Masalah terbuka utama yg tersisa</t>
  </si>
  <si>
    <t xml:space="preserve">Batas Kompleksitas &amp; Pasangan Universal (nu,delta)</t>
  </si>
  <si>
    <t xml:space="preserve">Pasangan (jumlah variabel, derajat) universal eksplisit pertama</t>
  </si>
  <si>
    <t xml:space="preserve">Formalisasi &amp; Verifikasi (Isabelle/HOL)</t>
  </si>
  <si>
    <t xml:space="preserve">Bukti terformalisasi batas kompleksitas Diophantine</t>
  </si>
  <si>
    <t xml:space="preserve">Ekstensi ke Ring Bilangan Bulat Field Bilangan</t>
  </si>
  <si>
    <t xml:space="preserve">Menjawab pertanyaan lama tanpa syarat BSD</t>
  </si>
  <si>
    <t xml:space="preserve">Contoh klasik &amp; subkelas decidable</t>
  </si>
  <si>
    <t xml:space="preserve">Alat teknis kunci bukti Matiyasevich 1970</t>
  </si>
  <si>
    <t xml:space="preserve">Titik asal historis persamaan Diophantine</t>
  </si>
  <si>
    <t xml:space="preserve">GP</t>
  </si>
  <si>
    <t xml:space="preserve">Tradisi teori bilangan klasik</t>
  </si>
  <si>
    <t xml:space="preserve">Perumus PR#10, 1900; Program Hilbert</t>
  </si>
  <si>
    <t xml:space="preserve">Lambda calculus; Church's Thesis</t>
  </si>
  <si>
    <t xml:space="preserve">Representability eksponensial; jembatan menuju MRDP</t>
  </si>
  <si>
    <t xml:space="preserve">Davis-Putnam reduction; visi reduksi RE-&gt;Diophantine</t>
  </si>
  <si>
    <t xml:space="preserve">Davis-Putnam reduction</t>
  </si>
  <si>
    <t xml:space="preserve">Melengkapi bukti MRDP, 1970</t>
  </si>
  <si>
    <t xml:space="preserve">H10/Q status terbuka; elliptic curves</t>
  </si>
  <si>
    <t xml:space="preserve">H10/Q status terbuka; buku HTP global fields</t>
  </si>
  <si>
    <t xml:space="preserve">Gerd Faltings</t>
  </si>
  <si>
    <t xml:space="preserve">Mordell/Faltings theorem</t>
  </si>
  <si>
    <t xml:space="preserve">Undecidability (bagian daftar 'Turing, Church, Post, Kleene')</t>
  </si>
  <si>
    <t xml:space="preserve">Stephen Kleene</t>
  </si>
  <si>
    <t xml:space="preserve">Recursive/RE sets (bagian daftar 'dll.')</t>
  </si>
  <si>
    <t xml:space="preserve">Charles Hermite</t>
  </si>
  <si>
    <t xml:space="preserve">Kontras Problem #7 (transcendence)</t>
  </si>
  <si>
    <t xml:space="preserve">Ferdinand von Lindemann</t>
  </si>
  <si>
    <t xml:space="preserve">Alexander Gelfond</t>
  </si>
  <si>
    <t xml:space="preserve">Theodor Schneider</t>
  </si>
  <si>
    <t xml:space="preserve">John von Neumann</t>
  </si>
  <si>
    <t xml:space="preserve">Dampak thd sejarah teori komputer (daftar 'dll.')</t>
  </si>
  <si>
    <t xml:space="preserve">Mazur's Conjecture, H10/Q</t>
  </si>
  <si>
    <t xml:space="preserve">H10/Q status terbuka (daftar 'dll.')</t>
  </si>
  <si>
    <t xml:space="preserve">Joseph H. Silverman</t>
  </si>
  <si>
    <t xml:space="preserve">Elliptic curves &amp; Diophantine (daftar 'dll.')</t>
  </si>
  <si>
    <t xml:space="preserve">Alan Baker</t>
  </si>
  <si>
    <t xml:space="preserve">Baker's theory, effective Diophantine approximation</t>
  </si>
  <si>
    <t xml:space="preserve">Clifford Spector</t>
  </si>
  <si>
    <t xml:space="preserve">Degree of unsolvability (daftar 'dll.')</t>
  </si>
  <si>
    <t xml:space="preserve">Joseph Shoenfield</t>
  </si>
  <si>
    <t xml:space="preserve">Arithmetical hierarchy (daftar 'dll.')</t>
  </si>
  <si>
    <t xml:space="preserve">Serge Lang</t>
  </si>
  <si>
    <t xml:space="preserve">Model theory &amp; Diophantine geometry (daftar 'dll.')</t>
  </si>
  <si>
    <t xml:space="preserve">Jean-Pierre Serre</t>
  </si>
  <si>
    <t xml:space="preserve">Algorithmic number theory (daftar 'dll.')</t>
  </si>
  <si>
    <t xml:space="preserve">Carl Pomerance</t>
  </si>
  <si>
    <t xml:space="preserve">Henri Cohen</t>
  </si>
  <si>
    <t xml:space="preserve">Paul Vojta</t>
  </si>
  <si>
    <t xml:space="preserve">Modern Diophantine geometry (daftar 'dll.')</t>
  </si>
  <si>
    <t xml:space="preserve">Enrico Bombieri</t>
  </si>
  <si>
    <t xml:space="preserve">B. Jack Copeland</t>
  </si>
  <si>
    <t xml:space="preserve">Editor 'The Essential Turing' 2004</t>
  </si>
  <si>
    <t xml:space="preserve">Program Hilbert (1900)</t>
  </si>
  <si>
    <t xml:space="preserve">Konteks perumusan PR#10</t>
  </si>
  <si>
    <t xml:space="preserve">Konsep metode efektif</t>
  </si>
  <si>
    <t xml:space="preserve">Inti filosofis PR#10: prosedur umum, bukan solusi kasus</t>
  </si>
  <si>
    <t xml:space="preserve">Kasus umum PR#10 utk logika orde pertama, 1928</t>
  </si>
  <si>
    <t xml:space="preserve">Retakan pertama program Hilbert, 1931</t>
  </si>
  <si>
    <t xml:space="preserve">Definisi formal computability (Church)</t>
  </si>
  <si>
    <t xml:space="preserve">Lambda calculus &amp; Church's Thesis, 1936</t>
  </si>
  <si>
    <t xml:space="preserve">Turing Machine</t>
  </si>
  <si>
    <t xml:space="preserve">Model formal komputasi, 1936</t>
  </si>
  <si>
    <t xml:space="preserve">Halting Problem</t>
  </si>
  <si>
    <t xml:space="preserve">Undecidability eksplisit pertama</t>
  </si>
  <si>
    <t xml:space="preserve">Undecidability</t>
  </si>
  <si>
    <t xml:space="preserve">Konsep kunci jawaban negatif PR#10</t>
  </si>
  <si>
    <t xml:space="preserve">Recursive/recursively enumerable sets</t>
  </si>
  <si>
    <t xml:space="preserve">Bahasa formal penghubung komputabilitas &amp; Diophantine</t>
  </si>
  <si>
    <t xml:space="preserve">DPRM/MRDP Theorem</t>
  </si>
  <si>
    <t xml:space="preserve">Hasil utama: RE=Diophantine, bukti final PR#10</t>
  </si>
  <si>
    <t xml:space="preserve">Filsafat matematika: batas pengetahuan</t>
  </si>
  <si>
    <t xml:space="preserve">PR#10 sbg studi kasus batas metode algoritmik</t>
  </si>
  <si>
    <t xml:space="preserve">Dampak modern: automated reasoning</t>
  </si>
  <si>
    <t xml:space="preserve">Konsekuensi PR#10 bagi AI/automated theorem proving</t>
  </si>
  <si>
    <t xml:space="preserve">H10 over Q (status terbuka)</t>
  </si>
  <si>
    <t xml:space="preserve">H10 over number fields</t>
  </si>
  <si>
    <t xml:space="preserve">Generalisasi HTP ke struktur bilangan lebih luas</t>
  </si>
  <si>
    <t xml:space="preserve">Elliptic curves &amp; Diophantine equations</t>
  </si>
  <si>
    <t xml:space="preserve">Perangkat modern memahami solusi Diophantine</t>
  </si>
  <si>
    <t xml:space="preserve">Solusi rasional terbatas utk kelas tertentu</t>
  </si>
  <si>
    <t xml:space="preserve">Model theory &amp; Diophantine geometry</t>
  </si>
  <si>
    <t xml:space="preserve">Perluasan PR#10 dari algoritmik ke studi struktur solusi</t>
  </si>
  <si>
    <t xml:space="preserve">Number theory &lt;-&gt; logic &lt;-&gt; computation</t>
  </si>
  <si>
    <t xml:space="preserve">PR#10 di persimpangan tiga disiplin besar</t>
  </si>
  <si>
    <t xml:space="preserve">Formal verification &amp; automated theorem proving</t>
  </si>
  <si>
    <t xml:space="preserve">Sisi modern: komputer verifikasi bukti</t>
  </si>
  <si>
    <t xml:space="preserve">SMT/SAT/symbolic computation</t>
  </si>
  <si>
    <t xml:space="preserve">Otomatisasi domain terbatas meski H10 universal mustahil</t>
  </si>
  <si>
    <t xml:space="preserve">Algorithmic number theory</t>
  </si>
  <si>
    <t xml:space="preserve">Algoritma konkret meski universal solver mustahil</t>
  </si>
  <si>
    <t xml:space="preserve">H10 sebagai benchmark batas AI</t>
  </si>
  <si>
    <t xml:space="preserve">AI tak menghapus undecidability</t>
  </si>
  <si>
    <t xml:space="preserve">Teori bilangan klasik</t>
  </si>
  <si>
    <t xml:space="preserve">Tradisi Diophantine sblm Hilbert</t>
  </si>
  <si>
    <t xml:space="preserve">Nama teknis spesifik jalur reduksi RE-&gt;Diophantine</t>
  </si>
  <si>
    <t xml:space="preserve">Matiyasevich's theorem</t>
  </si>
  <si>
    <t xml:space="preserve">Nama spesifik teorema (terpisah dari DPRM gabungan)</t>
  </si>
  <si>
    <t xml:space="preserve">Diophantine representation of computation</t>
  </si>
  <si>
    <t xml:space="preserve">Insight konseptual: komputasi 'ditanam' dlm polinomial</t>
  </si>
  <si>
    <t xml:space="preserve">Hubungan dengan Problem #7 (transcendence)</t>
  </si>
  <si>
    <t xml:space="preserve">Kontras PR#10 vs PR#7 dlm skema 23 Masalah</t>
  </si>
  <si>
    <t xml:space="preserve">Dampak terhadap teori komputer</t>
  </si>
  <si>
    <t xml:space="preserve">PR#10 dlm sejarah konseptual komputer</t>
  </si>
  <si>
    <t xml:space="preserve">H10 over rings</t>
  </si>
  <si>
    <t xml:space="preserve">Generalisasi HTP ke struktur ring</t>
  </si>
  <si>
    <t xml:space="preserve">Mazur's Conjecture</t>
  </si>
  <si>
    <t xml:space="preserve">Struktur solusi rasional &amp; implikasi H10/Q</t>
  </si>
  <si>
    <t xml:space="preserve">Baker's theory / effective Diophantine approximation</t>
  </si>
  <si>
    <t xml:space="preserve">Metode efektif kontras dgn undecidability universal</t>
  </si>
  <si>
    <t xml:space="preserve">Degree of unsolvability</t>
  </si>
  <si>
    <t xml:space="preserve">Hierarki derajat ketidakterselesaian</t>
  </si>
  <si>
    <t xml:space="preserve">Arithmetical hierarchy</t>
  </si>
  <si>
    <t xml:space="preserve">Lanskap formal kompleksitas logis PR#10</t>
  </si>
  <si>
    <t xml:space="preserve">Universal Diophantine equations</t>
  </si>
  <si>
    <t xml:space="preserve">Satu persamaan mengenkode keluarga besar persoalan</t>
  </si>
  <si>
    <t xml:space="preserve">Bounds on number of variables/degree</t>
  </si>
  <si>
    <t xml:space="preserve">Seberapa sederhana persamaan tetap undecidable</t>
  </si>
  <si>
    <t xml:space="preserve">Computer algebra &amp; Diophantine solving</t>
  </si>
  <si>
    <t xml:space="preserve">CAS mengubah sebagian problem jadi tereksplorasi komputasional</t>
  </si>
  <si>
    <t xml:space="preserve">AI-assisted theorem proving</t>
  </si>
  <si>
    <t xml:space="preserve">Perspektif kontemporer pencarian solusi vs algoritma universal</t>
  </si>
  <si>
    <t xml:space="preserve">Diofantus</t>
  </si>
  <si>
    <t xml:space="preserve">Asal nama persamaan Diofantin, abad ke-3 M</t>
  </si>
  <si>
    <t xml:space="preserve">LE</t>
  </si>
  <si>
    <t xml:space="preserve">Perumus PR#10, 1900; formalisasi matematika</t>
  </si>
  <si>
    <t xml:space="preserve">Teorema ketidaklengkapan, 1931</t>
  </si>
  <si>
    <t xml:space="preserve">Mesin Turing, 1936</t>
  </si>
  <si>
    <t xml:space="preserve">Teori komputasi, Tesis Church-Turing, 1936</t>
  </si>
  <si>
    <t xml:space="preserve">Teori rekursi</t>
  </si>
  <si>
    <t xml:space="preserve">MRDP Theorem, 1970</t>
  </si>
  <si>
    <t xml:space="preserve">MRDP Theorem</t>
  </si>
  <si>
    <t xml:space="preserve">Teori kompleksitas, NP-completeness</t>
  </si>
  <si>
    <t xml:space="preserve">Peter Shor</t>
  </si>
  <si>
    <t xml:space="preserve">Algoritma kuantum utk faktorisasi</t>
  </si>
  <si>
    <t xml:space="preserve">Edmund Clarke</t>
  </si>
  <si>
    <t xml:space="preserve">Model checking, verifikasi otomatis</t>
  </si>
  <si>
    <t xml:space="preserve">E. Allen Emerson</t>
  </si>
  <si>
    <t xml:space="preserve">Joseph Sifakis</t>
  </si>
  <si>
    <t xml:space="preserve">Vitalik Buterin</t>
  </si>
  <si>
    <t xml:space="preserve">Ethereum, aplikasi blockchain</t>
  </si>
  <si>
    <t xml:space="preserve">Teori kompleksitas, NP-completeness (bersama Cook)</t>
  </si>
  <si>
    <t xml:space="preserve">Lov Grover</t>
  </si>
  <si>
    <t xml:space="preserve">Algoritma kuantum (pencarian)</t>
  </si>
  <si>
    <t xml:space="preserve">Geoffrey Hinton</t>
  </si>
  <si>
    <t xml:space="preserve">AI &amp; pembelajaran mesin terkini</t>
  </si>
  <si>
    <t xml:space="preserve">Yann LeCun</t>
  </si>
  <si>
    <t xml:space="preserve">Andrew Ng</t>
  </si>
  <si>
    <t xml:space="preserve">Gavin Wood</t>
  </si>
  <si>
    <t xml:space="preserve">Aplikasi blockchain (bersama Buterin)</t>
  </si>
  <si>
    <t xml:space="preserve">John Stillwell</t>
  </si>
  <si>
    <t xml:space="preserve">'Mathematics and Its History' 2010</t>
  </si>
  <si>
    <t xml:space="preserve">'A History of Greek Mathematics' 1981</t>
  </si>
  <si>
    <t xml:space="preserve">Carl B. Boyer</t>
  </si>
  <si>
    <t xml:space="preserve">'A History of Mathematics' 2011</t>
  </si>
  <si>
    <t xml:space="preserve">Uta C. Merzbach</t>
  </si>
  <si>
    <t xml:space="preserve">Jeremy Gray</t>
  </si>
  <si>
    <t xml:space="preserve">'The Hilbert Challenge' 2000</t>
  </si>
  <si>
    <t xml:space="preserve">'A Mathematical Introduction to Logic' 2001</t>
  </si>
  <si>
    <t xml:space="preserve">Andrew Hodges</t>
  </si>
  <si>
    <t xml:space="preserve">'Alan Turing: The Enigma' 2014</t>
  </si>
  <si>
    <t xml:space="preserve">'Gödel, Escher, Bach' 1979</t>
  </si>
  <si>
    <t xml:space="preserve">'The Essential Turing' 2004</t>
  </si>
  <si>
    <t xml:space="preserve">Michael R. Garey</t>
  </si>
  <si>
    <t xml:space="preserve">'Computers and Intractability' 1979</t>
  </si>
  <si>
    <t xml:space="preserve">David S. Johnson</t>
  </si>
  <si>
    <t xml:space="preserve">Ron Rivest</t>
  </si>
  <si>
    <t xml:space="preserve">RSA cryptosystem, 1978</t>
  </si>
  <si>
    <t xml:space="preserve">Adi Shamir</t>
  </si>
  <si>
    <t xml:space="preserve">Leonard Adleman</t>
  </si>
  <si>
    <t xml:space="preserve">Johannes Buchmann</t>
  </si>
  <si>
    <t xml:space="preserve">'Post-Quantum Cryptography' 2010</t>
  </si>
  <si>
    <t xml:space="preserve">Albrecht Petzoldt</t>
  </si>
  <si>
    <t xml:space="preserve">Ulrich Vollmer</t>
  </si>
  <si>
    <t xml:space="preserve">C.A.R. Hoare</t>
  </si>
  <si>
    <t xml:space="preserve">'An Axiomatic Basis for Computer Programming' 1969</t>
  </si>
  <si>
    <t xml:space="preserve">Michael A. Nielsen</t>
  </si>
  <si>
    <t xml:space="preserve">'Quantum Computation and Quantum Information' 2010</t>
  </si>
  <si>
    <t xml:space="preserve">Isaac L. Chuang</t>
  </si>
  <si>
    <t xml:space="preserve">Stuart Russell</t>
  </si>
  <si>
    <t xml:space="preserve">'Artificial Intelligence: A Modern Approach' 2020</t>
  </si>
  <si>
    <t xml:space="preserve">Peter Norvig</t>
  </si>
  <si>
    <t xml:space="preserve">Ian Goodfellow</t>
  </si>
  <si>
    <t xml:space="preserve">'Deep Learning' 2016</t>
  </si>
  <si>
    <t xml:space="preserve">Yoshua Bengio</t>
  </si>
  <si>
    <t xml:space="preserve">Aaron Courville</t>
  </si>
  <si>
    <t xml:space="preserve">Satoshi Nakamoto</t>
  </si>
  <si>
    <t xml:space="preserve">Bitcoin whitepaper, 2008</t>
  </si>
  <si>
    <t xml:space="preserve">Karl Popper</t>
  </si>
  <si>
    <t xml:space="preserve">'The Logic of Scientific Discovery' 1959</t>
  </si>
  <si>
    <t xml:space="preserve">Saunders Mac Lane</t>
  </si>
  <si>
    <t xml:space="preserve">'Mathematics, Form and Function' 1986</t>
  </si>
  <si>
    <t xml:space="preserve">Ian Stewart</t>
  </si>
  <si>
    <t xml:space="preserve">'The Great Mathematical Problems' 2013</t>
  </si>
  <si>
    <t xml:space="preserve">Donald E. Knuth</t>
  </si>
  <si>
    <t xml:space="preserve">'The Art of Computer Programming' 1997</t>
  </si>
  <si>
    <t xml:space="preserve">Michael Sipser</t>
  </si>
  <si>
    <t xml:space="preserve">'Introduction to the Theory of Computation' 2012</t>
  </si>
  <si>
    <t xml:space="preserve">Luciano Floridi</t>
  </si>
  <si>
    <t xml:space="preserve">'The Ethics of Artificial Intelligence' 2019</t>
  </si>
  <si>
    <t xml:space="preserve">Nick Bostrom</t>
  </si>
  <si>
    <t xml:space="preserve">'Superintelligence' 2014</t>
  </si>
  <si>
    <t xml:space="preserve">A. Rao</t>
  </si>
  <si>
    <t xml:space="preserve">'The Limits of Mathematics...' 2018, AMS -- CEK: judul &amp; penulis mencurigakan, mirip judul buku Chaitin 'The Limits of Mathematics' (Springer, bukan AMS) -- berpotensi sitasi keliru/halusinasi</t>
  </si>
  <si>
    <t xml:space="preserve">Scott Aaronson</t>
  </si>
  <si>
    <t xml:space="preserve">'Quantum Computing Since Democritus' 2013</t>
  </si>
  <si>
    <t xml:space="preserve">Persamaan Diofantin</t>
  </si>
  <si>
    <t xml:space="preserve">Masalah Keputusan (Entscheidungsproblem)</t>
  </si>
  <si>
    <t xml:space="preserve">Masalah 1928 yg menginspirasi PR#10</t>
  </si>
  <si>
    <t xml:space="preserve">Batas fundamental formalisasi, 1931</t>
  </si>
  <si>
    <t xml:space="preserve">Model teoretis komputer, 1936</t>
  </si>
  <si>
    <t xml:space="preserve">Teori Komputasi</t>
  </si>
  <si>
    <t xml:space="preserve">Menjelaskan ketidakadaan solusi algoritmik umum</t>
  </si>
  <si>
    <t xml:space="preserve">Logika Matematika</t>
  </si>
  <si>
    <t xml:space="preserve">Kerangka logis batas solvabilitas</t>
  </si>
  <si>
    <t xml:space="preserve">Bukti undecidability PR#10, 1970</t>
  </si>
  <si>
    <t xml:space="preserve">Batas komputasi mekanis</t>
  </si>
  <si>
    <t xml:space="preserve">Kriptografi</t>
  </si>
  <si>
    <t xml:space="preserve">Aplikasi persamaan Diofantin dlm keamanan</t>
  </si>
  <si>
    <t xml:space="preserve">Verifikasi Program</t>
  </si>
  <si>
    <t xml:space="preserve">Model checking, pembuktian kebenaran program</t>
  </si>
  <si>
    <t xml:space="preserve">Kelas NP-complete</t>
  </si>
  <si>
    <t xml:space="preserve">AI dan Pembelajaran Mesin</t>
  </si>
  <si>
    <t xml:space="preserve">Batas algoritma AI</t>
  </si>
  <si>
    <t xml:space="preserve">Formalisasi Matematika</t>
  </si>
  <si>
    <t xml:space="preserve">Visi Hilbert: matematika sepenuhnya diautomasi</t>
  </si>
  <si>
    <t xml:space="preserve">Teori Komputasi Kuantum</t>
  </si>
  <si>
    <t xml:space="preserve">Potensi &amp; batas baru komputasi kuantum</t>
  </si>
  <si>
    <t xml:space="preserve">Kriptografi Post-Kuantum</t>
  </si>
  <si>
    <t xml:space="preserve">Keamanan sistem dari serangan kuantum</t>
  </si>
  <si>
    <t xml:space="preserve">Kriptografi Pasca-Kuantum</t>
  </si>
  <si>
    <t xml:space="preserve">Verifikasi Program Otomatis</t>
  </si>
  <si>
    <t xml:space="preserve">Model checking modern</t>
  </si>
  <si>
    <t xml:space="preserve">Aplikasi dalam Blockchain</t>
  </si>
  <si>
    <t xml:space="preserve">Protokol konsensus, validasi transaksi</t>
  </si>
  <si>
    <t xml:space="preserve">Teori Rekursi</t>
  </si>
  <si>
    <t xml:space="preserve">Fungsi yang dpt/tak dpt dihitung</t>
  </si>
  <si>
    <t xml:space="preserve">Diophantos</t>
  </si>
  <si>
    <t xml:space="preserve">Asal nama persamaan Diophantine, Alexandria abad ke-3</t>
  </si>
  <si>
    <t xml:space="preserve">ME</t>
  </si>
  <si>
    <t xml:space="preserve">Perumus PR#10, 1900; Program Hilbert 3 pilar</t>
  </si>
  <si>
    <t xml:space="preserve">Leopold Kronecker</t>
  </si>
  <si>
    <t xml:space="preserve">Finitisme, lawan filosofis Hilbert</t>
  </si>
  <si>
    <t xml:space="preserve">Teori himpunan, krisis fondasi</t>
  </si>
  <si>
    <t xml:space="preserve">L.E.J. Brouwer</t>
  </si>
  <si>
    <t xml:space="preserve">Intuisionisme, krisis fondasi</t>
  </si>
  <si>
    <t xml:space="preserve">Teorema ketidaklengkapan, 1931, menghantam Pilar 1</t>
  </si>
  <si>
    <t xml:space="preserve">Mesin Turing, 1936, definisi formal algoritma</t>
  </si>
  <si>
    <t xml:space="preserve">Lambda Kalkulus, 1936</t>
  </si>
  <si>
    <t xml:space="preserve">Konjektur Davis; Davis Normal Form 1949</t>
  </si>
  <si>
    <t xml:space="preserve">Persamaan eksponensial Diophantine</t>
  </si>
  <si>
    <t xml:space="preserve">Hipotesis JR, 1950</t>
  </si>
  <si>
    <t xml:space="preserve">Trik Fibonacci, penutup bukti 1970</t>
  </si>
  <si>
    <t xml:space="preserve">Teorema empat kuadrat sbg alat teknis</t>
  </si>
  <si>
    <t xml:space="preserve">Teorema Terakhir Fermat, contoh motivasi</t>
  </si>
  <si>
    <t xml:space="preserve">Thoralf Skolem</t>
  </si>
  <si>
    <t xml:space="preserve">Batas derajat dan dimensi, 1920an</t>
  </si>
  <si>
    <t xml:space="preserve">Zhi-Wei Sun</t>
  </si>
  <si>
    <t xml:space="preserve">Memperketat batas ke 11 unknowns</t>
  </si>
  <si>
    <t xml:space="preserve">Dominique Larchey-Wendling</t>
  </si>
  <si>
    <t xml:space="preserve">Formalisasi bukti MRDP di Coq, 2019</t>
  </si>
  <si>
    <t xml:space="preserve">H10 ring bilangan aljabar parsial</t>
  </si>
  <si>
    <t xml:space="preserve">Leonard Lipschitz</t>
  </si>
  <si>
    <t xml:space="preserve">H10 ring bilangan aljabar parsial &amp; H10/Q</t>
  </si>
  <si>
    <t xml:space="preserve">Dugaan Mazur ttg topologi solusi atas Q</t>
  </si>
  <si>
    <t xml:space="preserve">Kriteria eliptik Poonen</t>
  </si>
  <si>
    <t xml:space="preserve">Serangan modern H10/Q via lokal-global</t>
  </si>
  <si>
    <t xml:space="preserve">Jennifer Park</t>
  </si>
  <si>
    <t xml:space="preserve">Badai 2024-2025, kombinatorika aditif</t>
  </si>
  <si>
    <t xml:space="preserve">Tim kedua, stabilitas rank ekstensi kuadratik</t>
  </si>
  <si>
    <t xml:space="preserve">Daniel Dittmann</t>
  </si>
  <si>
    <t xml:space="preserve">Sebastian Daans</t>
  </si>
  <si>
    <t xml:space="preserve">1944, menyatakan PR#10 'minta dibuktikan tidak bisa'</t>
  </si>
  <si>
    <t xml:space="preserve">Nikolai Vorob'ev</t>
  </si>
  <si>
    <t xml:space="preserve">Paper ttg Fibonacci yg dibaca Matiyasevich, 1970</t>
  </si>
  <si>
    <t xml:space="preserve">Bersama Gödel meruntuhkan PR#1 (Kontinum)</t>
  </si>
  <si>
    <t xml:space="preserve">Ko-penulis artikel Scientific American 1973</t>
  </si>
  <si>
    <t xml:space="preserve">M. Ram Murty</t>
  </si>
  <si>
    <t xml:space="preserve">Ko-penulis buku pengantar HTP, 2019</t>
  </si>
  <si>
    <t xml:space="preserve">Brandon Fodden</t>
  </si>
  <si>
    <t xml:space="preserve">Persamaan Diophantine Klasik</t>
  </si>
  <si>
    <t xml:space="preserve">Program Hilbert</t>
  </si>
  <si>
    <t xml:space="preserve">3 pilar: konsistensi, kelengkapan, keputusan</t>
  </si>
  <si>
    <t xml:space="preserve">Finitisme</t>
  </si>
  <si>
    <t xml:space="preserve">Lawan filosofis, menuntut bukti konstruktif</t>
  </si>
  <si>
    <t xml:space="preserve">Pilar 3, versi logika formal PR#10, 1928</t>
  </si>
  <si>
    <t xml:space="preserve">Krisis Fondasi Matematika</t>
  </si>
  <si>
    <t xml:space="preserve">Paradoks tak hingga, latar kecemasan 1900</t>
  </si>
  <si>
    <t xml:space="preserve">Komputabilitas dan Undecidability</t>
  </si>
  <si>
    <t xml:space="preserve">Mesin Turing &amp; Lambda Kalkulus membuktikan undecidability</t>
  </si>
  <si>
    <t xml:space="preserve">Konjektur Davis</t>
  </si>
  <si>
    <t xml:space="preserve">Setiap himpunan terenumerasi = Diophantine</t>
  </si>
  <si>
    <t xml:space="preserve">Persamaan Eksponensial Diophantine</t>
  </si>
  <si>
    <t xml:space="preserve">Hipotesis JR sbg jembatan terakhir</t>
  </si>
  <si>
    <t xml:space="preserve">Teorema DPRM</t>
  </si>
  <si>
    <t xml:space="preserve">Bukti final 1970, algoritma umum tidak ada</t>
  </si>
  <si>
    <t xml:space="preserve">Batas Derajat dan Dimensi Universal</t>
  </si>
  <si>
    <t xml:space="preserve">9-11 unknowns cukup utk undecidability</t>
  </si>
  <si>
    <t xml:space="preserve">Formalisasi dan Persamaan Universal (Coq)</t>
  </si>
  <si>
    <t xml:space="preserve">Bukti MRDP diformalkan di proof assistant, 2019</t>
  </si>
  <si>
    <t xml:space="preserve">H10 Atas Ring Bilangan Aljabar Parsial</t>
  </si>
  <si>
    <t xml:space="preserve">Unsolvability utk Galois abelian, fondasi hasil umum</t>
  </si>
  <si>
    <t xml:space="preserve">H10 Atas Q Masih Terbuka</t>
  </si>
  <si>
    <t xml:space="preserve">Q butuh pendekatan berbeda, open problem terbesar</t>
  </si>
  <si>
    <t xml:space="preserve">Kriteria Eliptik Poonen</t>
  </si>
  <si>
    <t xml:space="preserve">Jembatan HTP dgn eksistensi kurva eliptik rank 1</t>
  </si>
  <si>
    <t xml:space="preserve">Penyelesaian Umum Untuk Semua Ring Integer</t>
  </si>
  <si>
    <t xml:space="preserve">Badai 2024-2025, dua tim independen</t>
  </si>
  <si>
    <t xml:space="preserve">H10 Untuk Ring Yang Dibangun Hingga (finitely generated)</t>
  </si>
  <si>
    <t xml:space="preserve">Metode rank eliptik selesaikan semua finitely generated rings</t>
  </si>
  <si>
    <t xml:space="preserve">Pendekatan Kombinatorika Aditif dan Kurva Mordell</t>
  </si>
  <si>
    <t xml:space="preserve">Teknik baru di luar metode Pell klasik</t>
  </si>
  <si>
    <t xml:space="preserve">Ketidaklengkapan Aritmetika</t>
  </si>
  <si>
    <t xml:space="preserve">Label spesifik Teorema Gödel</t>
  </si>
  <si>
    <t xml:space="preserve">Alat Representasi Bilangan (Lagrange)</t>
  </si>
  <si>
    <t xml:space="preserve">Fungsi teknis teorema 4 kuadrat</t>
  </si>
  <si>
    <t xml:space="preserve">Contoh Motivasi Klasik (Fermat)</t>
  </si>
  <si>
    <t xml:space="preserve">Fungsi Teorema Fermat sbg motivasi historis</t>
  </si>
  <si>
    <t xml:space="preserve">Perumus PR#10, 1900; Program Hilbert &amp; Formalisme</t>
  </si>
  <si>
    <t xml:space="preserve">QW</t>
  </si>
  <si>
    <t xml:space="preserve">Mesin Turing, 1936, definisi komputabilitas</t>
  </si>
  <si>
    <t xml:space="preserve">Lambda kalkulus, 1936</t>
  </si>
  <si>
    <t xml:space="preserve">Himpunan Diophantine &amp; rekursif; DPR</t>
  </si>
  <si>
    <t xml:space="preserve">Hipotesis J.R.; DPR</t>
  </si>
  <si>
    <t xml:space="preserve">Teorema MRDP, 1970, trik Fibonacci</t>
  </si>
  <si>
    <t xml:space="preserve">Paradoks teori himpunan, krisis fondasi</t>
  </si>
  <si>
    <t xml:space="preserve">Bertrand Russell</t>
  </si>
  <si>
    <t xml:space="preserve">Paradoks Russell; Logisisme</t>
  </si>
  <si>
    <t xml:space="preserve">Terobosan 2024, ring bilangan bulat bidang bilangan</t>
  </si>
  <si>
    <t xml:space="preserve">Lev/Levent Alpöge</t>
  </si>
  <si>
    <t xml:space="preserve">Dukungan karya utk terobosan 2024</t>
  </si>
  <si>
    <t xml:space="preserve">RSA, kriptografi kunci publik</t>
  </si>
  <si>
    <t xml:space="preserve">Teorema Fermat Terakhir, contoh Diophantine ikonik</t>
  </si>
  <si>
    <t xml:space="preserve">Intuisionisme, aliran filosofis ketiga</t>
  </si>
  <si>
    <t xml:space="preserve">Jacques Herbrand</t>
  </si>
  <si>
    <t xml:space="preserve">Rekursi umum (Gödel-Herbrand)</t>
  </si>
  <si>
    <t xml:space="preserve">Disebut dlm ringkasan Tokoh Kunci Bab 5</t>
  </si>
  <si>
    <t xml:space="preserve">Konjektur Mazur, H10 atas Q</t>
  </si>
  <si>
    <t xml:space="preserve">Upaya menghubungkan topologi varietas dgn H10/Q</t>
  </si>
  <si>
    <t xml:space="preserve">Biografi 'Julia: A Life in Mathematics' 2021</t>
  </si>
  <si>
    <t xml:space="preserve">'The Emperor's New Mind' 1989</t>
  </si>
  <si>
    <t xml:space="preserve">'The Honors Class' 2001</t>
  </si>
  <si>
    <t xml:space="preserve">'Fermat's Enigma' 1997</t>
  </si>
  <si>
    <t xml:space="preserve">Paul Hoffman</t>
  </si>
  <si>
    <t xml:space="preserve">'The Man Who Loved Only Numbers' 1998</t>
  </si>
  <si>
    <t xml:space="preserve">Paul Erdős</t>
  </si>
  <si>
    <t xml:space="preserve">Subjek biografi Hoffman -- rujukan suasana budaya matematika, bukan kontributor PR#10</t>
  </si>
  <si>
    <t xml:space="preserve">Teori Komputabilitas &amp; Mesin Turing</t>
  </si>
  <si>
    <t xml:space="preserve">Definisi formal algoritma, prasyarat pembuktian</t>
  </si>
  <si>
    <t xml:space="preserve">Himpunan Diophantine &amp; Rekursif</t>
  </si>
  <si>
    <t xml:space="preserve">Fondasi pembuktian MRDP</t>
  </si>
  <si>
    <t xml:space="preserve">Bukti final 1970, jawaban negatif PR#10</t>
  </si>
  <si>
    <t xml:space="preserve">Teorema Ketidaklengkapan (Incompleteness)</t>
  </si>
  <si>
    <t xml:space="preserve">Koneksi logika &amp; filsafat Gödel</t>
  </si>
  <si>
    <t xml:space="preserve">Teori Himpunan &amp; Logika Matematika</t>
  </si>
  <si>
    <t xml:space="preserve">Pemicu krisis fondasi awal abad 20</t>
  </si>
  <si>
    <t xml:space="preserve">PR#10 atas Bilangan Rasional (Q)</t>
  </si>
  <si>
    <t xml:space="preserve">Masalah terbuka terbesar, 'Holy Grail' hingga 2026</t>
  </si>
  <si>
    <t xml:space="preserve">PR#10 atas Ring Bilangan Bulat dari Bidang Bilangan</t>
  </si>
  <si>
    <t xml:space="preserve">Terobosan Koymans-Pagano 2024</t>
  </si>
  <si>
    <t xml:space="preserve">Alat pembuktian modern pasca-2020</t>
  </si>
  <si>
    <t xml:space="preserve">Aplikasi hilir ketidakmungkinan algoritmik</t>
  </si>
  <si>
    <t xml:space="preserve">Program Hilbert &amp; Formalisme</t>
  </si>
  <si>
    <t xml:space="preserve">Label spesifik gerakan filosofis Hilbert</t>
  </si>
  <si>
    <t xml:space="preserve">Kriptografi Kunci Publik (RSA)</t>
  </si>
  <si>
    <t xml:space="preserve">Dampak praktis modern PR#10</t>
  </si>
  <si>
    <t xml:space="preserve">Grup Selmer</t>
  </si>
  <si>
    <t xml:space="preserve">Alat teknis geometri aritmetika modern</t>
  </si>
  <si>
    <t xml:space="preserve">Status (Match/Prep only/Draft only)</t>
  </si>
  <si>
    <t xml:space="preserve">Catatan/Lokasi</t>
  </si>
  <si>
    <t xml:space="preserve">Match</t>
  </si>
  <si>
    <t xml:space="preserve">Latar Belakang &amp; Tabel; MVC Bab 1,3,17</t>
  </si>
  <si>
    <t xml:space="preserve">Prep only</t>
  </si>
  <si>
    <t xml:space="preserve">Latar Belakang §1 saja; tidak muncul lagi di MVC/Daftar Pustaka</t>
  </si>
  <si>
    <t xml:space="preserve">Tabel baris 4; MVC Bab 2 'Warisan Diophantus'</t>
  </si>
  <si>
    <t xml:space="preserve">Tabel baris 6 saja; MVC Bab 6 sebut Entscheidungsproblem tanpa nama Ackermann</t>
  </si>
  <si>
    <t xml:space="preserve">Tabel baris 7,9; MVC Bab 5,6,17,18; Daftar Pustaka A</t>
  </si>
  <si>
    <t xml:space="preserve">Tabel baris 10; MVC Bab 5,6; Daftar Pustaka A</t>
  </si>
  <si>
    <t xml:space="preserve">Tabel baris 11; MVC Bab 5,6; Daftar Pustaka A</t>
  </si>
  <si>
    <t xml:space="preserve">Tabel baris 12,13,15,17; MVC Bab 7,8,19</t>
  </si>
  <si>
    <t xml:space="preserve">Tabel baris 13,15; MVC Bab 8,19; Daftar Pustaka A</t>
  </si>
  <si>
    <t xml:space="preserve">Tabel baris 14,15,17; MVC Bab 9,19; Daftar Pustaka A</t>
  </si>
  <si>
    <t xml:space="preserve">Tabel baris 18,19; MVC Bab 12,13; Daftar Pustaka B</t>
  </si>
  <si>
    <t xml:space="preserve">Tabel baris 18 (dieja 'Lipschitz'); MVC Bab 13; Daftar Pustaka B (dieja 'Lipshitz') -- KOREKSI Tahap 1.5 (setelah dicek ulang via QC): ejaan benar 'Lipshitz' (tanpa 'c'), dikonfirmasi via halaman fakultas Purdue resmi (sumber primer) + 40+ publikasinya + volume AMS yg sama persis dikutip draft ini ('Denef, Lipshitz, Pheidas, Van Geel'). Kesimpulan awal Tahap 1.5 (menyimpulkan 'Lipschitz' benar, berdasar parafrase Wikipedia) KELIRU dan sudah dibalik. Jadi entri Daftar Pustaka CL sudah BENAR; entri Tabel/MVC CL yg pakai 'Lipschitz' itu yg salah eja.</t>
  </si>
  <si>
    <t xml:space="preserve">Tabel baris 18; MVC Bab 13</t>
  </si>
  <si>
    <t xml:space="preserve">Tabel baris 19; MVC Bab 12; Daftar Pustaka B</t>
  </si>
  <si>
    <t xml:space="preserve">Tabel baris 19; MVC Bab 12</t>
  </si>
  <si>
    <t xml:space="preserve">Tabel baris 23; MVC Bab 13; Daftar Pustaka B</t>
  </si>
  <si>
    <t xml:space="preserve">Tabel baris 22; MVC Bab 13; Daftar Pustaka B</t>
  </si>
  <si>
    <t xml:space="preserve">Tabel baris 20; MVC Bab 14; Daftar Pustaka B</t>
  </si>
  <si>
    <t xml:space="preserve">Tabel baris 24; MVC Bab 15; Daftar Pustaka C</t>
  </si>
  <si>
    <t xml:space="preserve">Tabel baris 25; MVC Bab 15; Daftar Pustaka C</t>
  </si>
  <si>
    <t xml:space="preserve">Draft only</t>
  </si>
  <si>
    <t xml:space="preserve">Daftar Pustaka B entri ke-2 saja; tidak muncul di Latar Belakang/Tabel</t>
  </si>
  <si>
    <t xml:space="preserve">Daftar Pustaka D entri ke-1 saja; bacaan populer</t>
  </si>
  <si>
    <t xml:space="preserve">Tabel baris 1; MVC Bab 1 hanya sebut 'pidato Hilbert di kongres, Paris 1900' tanpa mengulang judul asli -- borderline, dicatat sebagai temuan</t>
  </si>
  <si>
    <t xml:space="preserve">Tabel baris 2; MVC Bab 3</t>
  </si>
  <si>
    <t xml:space="preserve">Tabel baris 3; MVC Bab 1,17</t>
  </si>
  <si>
    <t xml:space="preserve">Latar Belakang §1 saja</t>
  </si>
  <si>
    <t xml:space="preserve">Tabel baris 4; MVC Bab 2</t>
  </si>
  <si>
    <t xml:space="preserve">Tabel baris 5 saja; istilah tidak muncul literal di MVC</t>
  </si>
  <si>
    <t xml:space="preserve">Tabel baris 6; MVC Bab 6; Daftar Pustaka A (via Turing 1936)</t>
  </si>
  <si>
    <t xml:space="preserve">Tabel baris 7; MVC Bab 6,17,18; Daftar Pustaka A</t>
  </si>
  <si>
    <t xml:space="preserve">Tabel baris 8; MVC Bab 17</t>
  </si>
  <si>
    <t xml:space="preserve">Tabel baris 9; MVC Bab 5</t>
  </si>
  <si>
    <t xml:space="preserve">Tabel baris 10; MVC Bab 5</t>
  </si>
  <si>
    <t xml:space="preserve">Tabel baris 11; MVC Bab 5</t>
  </si>
  <si>
    <t xml:space="preserve">MVC Bab 5 saja; Tabel hanya sebut 3 formalisasi terpisah tanpa nama tesisnya</t>
  </si>
  <si>
    <t xml:space="preserve">Tabel baris 19 (disebut dlm konteks); MVC Bab 2,7,12</t>
  </si>
  <si>
    <t xml:space="preserve">Tabel baris 12; MVC Bab 7</t>
  </si>
  <si>
    <t xml:space="preserve">Tabel baris 13; MVC Bab 8; Daftar Pustaka A</t>
  </si>
  <si>
    <t xml:space="preserve">Tabel baris 14; MVC Bab 9</t>
  </si>
  <si>
    <t xml:space="preserve">Tabel baris 15; MVC Bab 9,18</t>
  </si>
  <si>
    <t xml:space="preserve">Tabel baris 16; MVC Bab 10</t>
  </si>
  <si>
    <t xml:space="preserve">Tabel baris 17; MVC Bab 10</t>
  </si>
  <si>
    <t xml:space="preserve">Tabel baris 21; MVC Bab 14,20</t>
  </si>
  <si>
    <t xml:space="preserve">Tabel baris 26; Daftar Pustaka C entri ke-3 (Bab 16,20)</t>
  </si>
  <si>
    <t xml:space="preserve">Latar Belakang §Perjalanan penyelesaian; MVC Bab 19</t>
  </si>
  <si>
    <t xml:space="preserve">Latar Belakang &amp; Tabel; MVC Bab 2</t>
  </si>
  <si>
    <t xml:space="preserve">Tabel baris 1 (kolom Tokoh) saja; MVC Bab 1 hanya sebut 'persamaan Diophantine' &amp; 'Yunani', tak sebut nama literal 'Diophantus'</t>
  </si>
  <si>
    <t xml:space="preserve">Tabel baris 2; MVC Bab 1 (daftar contoh persamaan)</t>
  </si>
  <si>
    <t xml:space="preserve">Tabel baris 2 saja; tak muncul lagi di MVC/Daftar Pustaka</t>
  </si>
  <si>
    <t xml:space="preserve">Tabel baris 3,7,10; MVC Bab 4; Daftar Pustaka A</t>
  </si>
  <si>
    <t xml:space="preserve">Tabel baris 3,8 &amp; Latar Belakang §Entscheidungsproblem; tak muncul di MVC/Daftar Pustaka</t>
  </si>
  <si>
    <t xml:space="preserve">Tabel baris 4,8; MVC Bab 5; Daftar Pustaka A</t>
  </si>
  <si>
    <t xml:space="preserve">Tabel baris 5; MVC Bab 6; Daftar Pustaka A,B,C</t>
  </si>
  <si>
    <t xml:space="preserve">Tabel baris 5; MVC Bab 6; Daftar Pustaka A</t>
  </si>
  <si>
    <t xml:space="preserve">Tabel baris 5; MVC Bab 6 (judul &amp; isi); Daftar Pustaka A</t>
  </si>
  <si>
    <t xml:space="preserve">Tabel baris 6,13; MVC Bab 7; Daftar Pustaka A,B,C</t>
  </si>
  <si>
    <t xml:space="preserve">Tabel baris 11; MVC Bab 8; Daftar Pustaka C</t>
  </si>
  <si>
    <t xml:space="preserve">Tabel baris 11; MVC Bab 8; Daftar Pustaka B</t>
  </si>
  <si>
    <t xml:space="preserve">Tabel baris 11 saja; tak muncul lagi di MVC/Daftar Pustaka</t>
  </si>
  <si>
    <t xml:space="preserve">Tabel baris 12; Daftar Pustaka D entri 18</t>
  </si>
  <si>
    <t xml:space="preserve">Tabel baris 12 saja; tak muncul lagi di MVC/Daftar Pustaka</t>
  </si>
  <si>
    <t xml:space="preserve">Tabel baris 14; MVC Bab 10 (konteks); Daftar Pustaka D entri 19</t>
  </si>
  <si>
    <t xml:space="preserve">Tabel baris 14; Daftar Pustaka D entri 20</t>
  </si>
  <si>
    <t xml:space="preserve">Tabel baris 15 saja; tak muncul lagi di MVC/Daftar Pustaka</t>
  </si>
  <si>
    <t xml:space="preserve">Tabel baris 15; Daftar Pustaka B entri 11</t>
  </si>
  <si>
    <t xml:space="preserve">Tabel baris 16; MVC Bab 12; Daftar Pustaka D entri 21</t>
  </si>
  <si>
    <t xml:space="preserve">Tabel baris 16 saja; tak muncul lagi di MVC/Daftar Pustaka</t>
  </si>
  <si>
    <t xml:space="preserve">Latar Belakang §Problem ke-1 saja; tak muncul di MVC/Daftar Pustaka</t>
  </si>
  <si>
    <t xml:space="preserve">Daftar Pustaka B entri 12 saja; tak muncul di Latar Belakang/Tabel</t>
  </si>
  <si>
    <t xml:space="preserve">Daftar Pustaka B entri 13 saja; tak muncul di Latar Belakang/Tabel</t>
  </si>
  <si>
    <t xml:space="preserve">Daftar Pustaka D entri 22 saja; tak muncul di Latar Belakang/Tabel</t>
  </si>
  <si>
    <t xml:space="preserve">Tabel baris 1; MVC Bab 1 (judul)</t>
  </si>
  <si>
    <t xml:space="preserve">Tabel baris 2 &amp; Scope Bahasan; MVC Bab 8,16 (disebut ulang di catatan tautan)</t>
  </si>
  <si>
    <t xml:space="preserve">Tabel baris 3; MVC Bab 13 ("sistem formal", "filsafat matematika")</t>
  </si>
  <si>
    <t xml:space="preserve">Tabel baris 4; MVC catatan tautan Lapisan II &amp; Daftar Pustaka B entri 8</t>
  </si>
  <si>
    <t xml:space="preserve">Tabel baris 5; MVC Bab 6,7</t>
  </si>
  <si>
    <t xml:space="preserve">Tabel baris 6; MVC Bab 7</t>
  </si>
  <si>
    <t xml:space="preserve">Tabel baris 7; MVC Bab 4 (judul); Daftar Pustaka A entri 2</t>
  </si>
  <si>
    <t xml:space="preserve">Tabel baris 8 &amp; Latar Belakang §3; MVC Bab 2,5</t>
  </si>
  <si>
    <t xml:space="preserve">Tabel baris 9; MVC Bab 1 (tujuan lapisan), Bab 2,13 (platonisme vs formalisme)</t>
  </si>
  <si>
    <t xml:space="preserve">Tabel baris 10 &amp; Latar Belakang §1; tak disebut ulang di MVC/Daftar Pustaka</t>
  </si>
  <si>
    <t xml:space="preserve">Latar Belakang §Relevansi dgn Problem Lain, poin 2 saja; tak disebut di MVC</t>
  </si>
  <si>
    <t xml:space="preserve">Latar Belakang §Relevansi dgn Problem Lain, poin 4 saja; tak disebut di MVC</t>
  </si>
  <si>
    <t xml:space="preserve">Tabel baris 11; MVC Bab 8 (judul); Bab 16</t>
  </si>
  <si>
    <t xml:space="preserve">Tabel baris 12; MVC Bab 9,14; Daftar Pustaka D entri 18</t>
  </si>
  <si>
    <t xml:space="preserve">Tabel baris 13; MVC Bab 6 (hipotesis Robinson ttg eksponensial)</t>
  </si>
  <si>
    <t xml:space="preserve">Tabel baris 14; MVC Bab 10 (judul); Daftar Pustaka D entri 19,20</t>
  </si>
  <si>
    <t xml:space="preserve">Tabel baris 15; MVC Bab 11 (judul); Daftar Pustaka B entri 11</t>
  </si>
  <si>
    <t xml:space="preserve">Tabel baris 16; MVC Bab 12 (judul); Daftar Pustaka D entri 21,22</t>
  </si>
  <si>
    <t xml:space="preserve">MVC Bab 5 saja; Tabel hanya sebut Church/Turing tanpa nama tesisnya</t>
  </si>
  <si>
    <t xml:space="preserve">MVC Bab 5 &amp; Daftar Pustaka A entri 4 (catatan) saja</t>
  </si>
  <si>
    <t xml:space="preserve">MVC Bab 6 saja</t>
  </si>
  <si>
    <t xml:space="preserve">MVC Bab 6 saja; Tabel hanya sebut nama Robinson tanpa menamai hipotesisnya</t>
  </si>
  <si>
    <t xml:space="preserve">MVC Bab 7 saja</t>
  </si>
  <si>
    <t xml:space="preserve">MVC Bab 3 saja</t>
  </si>
  <si>
    <t xml:space="preserve">Latar Belakang &amp; Tabel baris 1,10,12; MVC Bab 1,3</t>
  </si>
  <si>
    <t xml:space="preserve">Latar Belakang §Konteks Historis saja; tak muncul di MVC/Daftar Pustaka</t>
  </si>
  <si>
    <t xml:space="preserve">Tabel baris 2 &amp; Latar Belakang; MVC Bab 2 hanya sebut 'persamaan Diophantine' tanpa nama literal</t>
  </si>
  <si>
    <t xml:space="preserve">Tabel baris 3; MVC Bab 4,5; Daftar Pustaka (via Entscheidungsproblem)</t>
  </si>
  <si>
    <t xml:space="preserve">Tabel baris 3; MVC Bab 5</t>
  </si>
  <si>
    <t xml:space="preserve">Tabel baris 4; MVC Bab 6; Daftar Pustaka Primer</t>
  </si>
  <si>
    <t xml:space="preserve">Tabel baris 5; MVC Bab 6; Daftar Pustaka Primer</t>
  </si>
  <si>
    <t xml:space="preserve">Tabel baris 6; MVC Bab 7; Daftar Pustaka Primer &amp; Survei</t>
  </si>
  <si>
    <t xml:space="preserve">Tabel baris 7; MVC Bab 4 (hanya 'karya Gödel (1931)')</t>
  </si>
  <si>
    <t xml:space="preserve">Tabel baris 8; MVC Bab 5</t>
  </si>
  <si>
    <t xml:space="preserve">Tabel baris 13,16; MVC Bab 10; Daftar Pustaka Terkini</t>
  </si>
  <si>
    <t xml:space="preserve">Tabel baris 14; MVC Bab 10; Daftar Pustaka Terkini</t>
  </si>
  <si>
    <t xml:space="preserve">Tabel baris 15 ('via hasil Eisenträger'); MVC Bab 9 -- KOREKSI Tahap 1.5 (dicek ulang via QC): nama depan yg benar 'Kirsten' (Penn State), sebelumnya salah tertulis 'Katrina' di entri ini walau sudah dikonfirmasi 'Kirsten' saat ronde KI</t>
  </si>
  <si>
    <t xml:space="preserve">Tabel baris 17 (teks agak rusak/typo); Daftar Pustaka Survei</t>
  </si>
  <si>
    <t xml:space="preserve">MVC Bab 9 saja; tak disebut di Tabel</t>
  </si>
  <si>
    <t xml:space="preserve">MVC Bab 9 saja; tak disebut di Tabel -- KOREKSI Tahap 1.5 (dicek ulang via QC): ejaan 'Lipshitz' yg dipakai draft GR ternyata SUDAH BENAR (dikonfirmasi via halaman fakultas Purdue resmi + volume AMS yg sama). Kesimpulan awal Tahap 1.5 yg menuduh ini salah eja adalah KELIRU dan sudah dibalik -- tidak ada galat di sini.</t>
  </si>
  <si>
    <t xml:space="preserve">MVC Bab 9 saja ('Mazur-Rubin'); tak disebut di Tabel</t>
  </si>
  <si>
    <t xml:space="preserve">Daftar Pustaka Survei saja; tak disebut di Latar Belakang/Tabel</t>
  </si>
  <si>
    <t xml:space="preserve">Daftar Pustaka Populer saja; tak disebut di Latar Belakang/Tabel</t>
  </si>
  <si>
    <t xml:space="preserve">Tabel baris 1 &amp; Latar Belakang; MVC Bab 1</t>
  </si>
  <si>
    <t xml:space="preserve">Tabel baris 2; MVC Bab 2 (judul)</t>
  </si>
  <si>
    <t xml:space="preserve">Tabel baris 3; MVC Bab 5 (judul)</t>
  </si>
  <si>
    <t xml:space="preserve">Tabel baris 4; MVC Bab 5,6</t>
  </si>
  <si>
    <t xml:space="preserve">Tabel baris 5; MVC Bab 6</t>
  </si>
  <si>
    <t xml:space="preserve">Tabel baris 6; MVC Bab 7,8</t>
  </si>
  <si>
    <t xml:space="preserve">Tabel baris 7 saja; MVC Bab 4 hanya sebut 'karya Gödel (1931)' tanpa nama teoremanya</t>
  </si>
  <si>
    <t xml:space="preserve">Tabel baris 9; MVC Bab 6 (Pell), Bab 7 (Fibonacci)</t>
  </si>
  <si>
    <t xml:space="preserve">Tabel baris 10 &amp; Latar Belakang; MVC Bab 3</t>
  </si>
  <si>
    <t xml:space="preserve">Tabel baris 11; MVC Bab 9 (judul, 'Ring Lain')</t>
  </si>
  <si>
    <t xml:space="preserve">Tabel baris 12 &amp; Latar Belakang; MVC Bab 1,16</t>
  </si>
  <si>
    <t xml:space="preserve">Tabel baris 13; MVC Bab 10</t>
  </si>
  <si>
    <t xml:space="preserve">Tabel baris 14; MVC Bab 10</t>
  </si>
  <si>
    <t xml:space="preserve">Tabel baris 15; MVC Bab 10</t>
  </si>
  <si>
    <t xml:space="preserve">Tabel baris 16; MVC Bab 12</t>
  </si>
  <si>
    <t xml:space="preserve">Tabel baris 17; MVC Bab 11 (judul, isi), Bab 14</t>
  </si>
  <si>
    <t xml:space="preserve">Tabel baris 18; MVC Bab 11</t>
  </si>
  <si>
    <t xml:space="preserve">Latar Belakang §Konteks Historis saja</t>
  </si>
  <si>
    <t xml:space="preserve">Latar Belakang §Kekhawatiran; MVC Bab 3</t>
  </si>
  <si>
    <t xml:space="preserve">Daftar Pustaka Terkini entri ke-3 saja</t>
  </si>
  <si>
    <t xml:space="preserve">Tabel; MVC Bab 1 (judul)</t>
  </si>
  <si>
    <t xml:space="preserve">Tabel; MVC Bab 5 (judul)</t>
  </si>
  <si>
    <t xml:space="preserve">Tabel; MVC Bab 3 (judul)</t>
  </si>
  <si>
    <t xml:space="preserve">Tabel; MVC Bab 4 (judul)</t>
  </si>
  <si>
    <t xml:space="preserve">Tabel; MVC Bab 8,9</t>
  </si>
  <si>
    <t xml:space="preserve">Tabel; MVC Bab 10</t>
  </si>
  <si>
    <t xml:space="preserve">Tabel; MVC Bab 14; Daftar Pustaka B (var. ejaan 'Matijasevic')</t>
  </si>
  <si>
    <t xml:space="preserve">Tabel; MVC Bab 11; Daftar Pustaka B</t>
  </si>
  <si>
    <t xml:space="preserve">Tabel; MVC Bab 12; Daftar Pustaka B,H</t>
  </si>
  <si>
    <t xml:space="preserve">Tabel; MVC Bab 13; Daftar Pustaka B</t>
  </si>
  <si>
    <t xml:space="preserve">Tabel; MVC Bab 6, Daftar Pustaka A</t>
  </si>
  <si>
    <t xml:space="preserve">Tabel baris Persamaan Pell saja; MVC Bab 6 hanya sebut Brahmagupta &amp; Lagrange, tak sebut nama Pell</t>
  </si>
  <si>
    <t xml:space="preserve">Tabel; MVC Bab 6</t>
  </si>
  <si>
    <t xml:space="preserve">Tabel; MVC Bab 7 (judul)</t>
  </si>
  <si>
    <t xml:space="preserve">Tabel &amp; Latar Belakang; MVC Bab 7 (judul)</t>
  </si>
  <si>
    <t xml:space="preserve">Tabel; MVC Bab 17,24; Daftar Pustaka A</t>
  </si>
  <si>
    <t xml:space="preserve">Tabel; MVC Bab 17,24</t>
  </si>
  <si>
    <t xml:space="preserve">Tabel baris Bilangan Transendental saja; tak muncul di MVC/Daftar Pustaka</t>
  </si>
  <si>
    <t xml:space="preserve">Tabel; MVC Bab 2 ('Aritmatika Peano')</t>
  </si>
  <si>
    <t xml:space="preserve">Tabel; MVC Bab 8 (judul); Daftar Pustaka A</t>
  </si>
  <si>
    <t xml:space="preserve">Tabel baris Teori Kompleksitas saja; tak muncul di MVC/Daftar Pustaka</t>
  </si>
  <si>
    <t xml:space="preserve">Tabel baris Bilangan Komputasional saja; tak muncul di MVC/Daftar Pustaka</t>
  </si>
  <si>
    <t xml:space="preserve">Tabel baris Filosofi Matematika saja; tak muncul di MVC/Daftar Pustaka</t>
  </si>
  <si>
    <t xml:space="preserve">Tabel baris Teori Kategori saja; tak muncul di MVC/Daftar Pustaka</t>
  </si>
  <si>
    <t xml:space="preserve">Tabel baris Teorema Roth saja; tak muncul di MVC/Daftar Pustaka</t>
  </si>
  <si>
    <t xml:space="preserve">Tabel baris Bilangan Analitik saja; tak muncul di MVC/Daftar Pustaka</t>
  </si>
  <si>
    <t xml:space="preserve">Tabel baris Teori Automata saja; tak muncul di MVC/Daftar Pustaka</t>
  </si>
  <si>
    <t xml:space="preserve">Tabel; MVC Bab 25 (judul); Daftar Pustaka C</t>
  </si>
  <si>
    <t xml:space="preserve">Tabel; MVC Bab 25,30; Daftar Pustaka C,F</t>
  </si>
  <si>
    <t xml:space="preserve">Tabel; MVC Bab 26 (judul); Daftar Pustaka C -- CEK KUALITAS (Tahap 1.5, dicek ulang via QC): Daftar Pustaka draft KI mencantumkan arXiv:2401.05904 utk paper 'Hilbert's tenth problem via additive combinatorics' -- nomor ini SALAH, mengarah ke paper fisika nuklir tak terkait ('Full leading-order nuclear polarization in highly charged ions'). Nomor arXiv yg benar: 2412.01768.</t>
  </si>
  <si>
    <t xml:space="preserve">Tabel; MVC Bab 26 (judul); Daftar Pustaka C</t>
  </si>
  <si>
    <t xml:space="preserve">Tabel; MVC Bab 27; Daftar Pustaka C</t>
  </si>
  <si>
    <t xml:space="preserve">Tabel; MVC Bab 24,27,35; Daftar Pustaka C</t>
  </si>
  <si>
    <t xml:space="preserve">Tabel; MVC Bab 27,33; Daftar Pustaka C</t>
  </si>
  <si>
    <t xml:space="preserve">Tabel; MVC Bab 23,24; Daftar Pustaka D</t>
  </si>
  <si>
    <t xml:space="preserve">Tabel; MVC Bab 23; Daftar Pustaka C</t>
  </si>
  <si>
    <t xml:space="preserve">Tabel; MVC Bab 25; Daftar Pustaka C</t>
  </si>
  <si>
    <t xml:space="preserve">Tabel; MVC Bab 23 (judul)</t>
  </si>
  <si>
    <t xml:space="preserve">Tabel; Daftar Pustaka E</t>
  </si>
  <si>
    <t xml:space="preserve">Tabel baris terakhir saja; tak muncul di MVC/Daftar Pustaka</t>
  </si>
  <si>
    <t xml:space="preserve">Latar Belakang (2x, daftar tokoh) saja; tak muncul di MVC/Daftar Pustaka</t>
  </si>
  <si>
    <t xml:space="preserve">Latar Belakang saja; tak muncul di MVC/Daftar Pustaka</t>
  </si>
  <si>
    <t xml:space="preserve">Latar Belakang §Scope &amp; §Kesimpulan; MVC Bab 37</t>
  </si>
  <si>
    <t xml:space="preserve">Latar Belakang §Kesimpulan saja ('Church→Turing→Post'); TIDAK muncul di MVC -- kemunculan 'post' di Draft semua dari 'post-quantum/post-kuantum' (false positive terdeteksi &amp; dikoreksi manual)</t>
  </si>
  <si>
    <t xml:space="preserve">MVC Bab 22 saja; tak disebut di Tabel/Latar Belakang</t>
  </si>
  <si>
    <t xml:space="preserve">Daftar Pustaka C entri 'Bhargava &amp; Shankar' saja</t>
  </si>
  <si>
    <t xml:space="preserve">Daftar Pustaka C saja</t>
  </si>
  <si>
    <t xml:space="preserve">Daftar Pustaka D saja</t>
  </si>
  <si>
    <t xml:space="preserve">Daftar Pustaka E saja</t>
  </si>
  <si>
    <t xml:space="preserve">Daftar Pustaka G saja (juga disitir dlm entri B utk Hilbert 1900)</t>
  </si>
  <si>
    <t xml:space="preserve">Daftar Pustaka G saja</t>
  </si>
  <si>
    <t xml:space="preserve">Daftar Pustaka H saja</t>
  </si>
  <si>
    <t xml:space="preserve">Tabel; MVC Bab 1</t>
  </si>
  <si>
    <t xml:space="preserve">Tabel; MVC Bab 5</t>
  </si>
  <si>
    <t xml:space="preserve">Tabel saja; MVC Bab 3 tak pakai istilah 'teori bilangan aljabar' scr literal</t>
  </si>
  <si>
    <t xml:space="preserve">Tabel; MVC Bab 9</t>
  </si>
  <si>
    <t xml:space="preserve">Tabel; MVC Bab 14,15</t>
  </si>
  <si>
    <t xml:space="preserve">Tabel saja; MVC tak pakai istilah literal ini</t>
  </si>
  <si>
    <t xml:space="preserve">Tabel; MVC berulang di banyak Bab</t>
  </si>
  <si>
    <t xml:space="preserve">Tabel; MVC Bab 15 (rumusan formal)</t>
  </si>
  <si>
    <t xml:space="preserve">Tabel; MVC Bab 6,17</t>
  </si>
  <si>
    <t xml:space="preserve">Tabel; MVC Bab 6 (judul)</t>
  </si>
  <si>
    <t xml:space="preserve">Tabel; MVC Bab 17,24 (judul)</t>
  </si>
  <si>
    <t xml:space="preserve">Tabel saja; tak muncul di MVC/Daftar Pustaka</t>
  </si>
  <si>
    <t xml:space="preserve">Tabel; MVC Bab 2</t>
  </si>
  <si>
    <t xml:space="preserve">Tabel saja; MVC Bab 8 bahas isinya tanpa istilah 'teori model' literal</t>
  </si>
  <si>
    <t xml:space="preserve">Tabel; MVC Bab 28 (SAT/SMT, machine learning)</t>
  </si>
  <si>
    <t xml:space="preserve">Tabel saja; MVC Bab 31-33 bahas filsafat tapi tak sebut Wittgenstein</t>
  </si>
  <si>
    <t xml:space="preserve">Tabel; MVC Bab 25 (judul)</t>
  </si>
  <si>
    <t xml:space="preserve">Tabel; MVC Bab 26</t>
  </si>
  <si>
    <t xml:space="preserve">Tabel; MVC Bab 27</t>
  </si>
  <si>
    <t xml:space="preserve">Tabel; MVC Bab 24</t>
  </si>
  <si>
    <t xml:space="preserve">Tabel; MVC Bab 20,21 (judul),38</t>
  </si>
  <si>
    <t xml:space="preserve">Tabel; MVC Bab 29 (judul),34</t>
  </si>
  <si>
    <t xml:space="preserve">Latar Belakang §Hubungan Masalah Lain; MVC Bab 37</t>
  </si>
  <si>
    <t xml:space="preserve">Latar Belakang §Hubungan Masalah Lain saja; MVC Bab 9 bahas tema konsistensi tanpa label '#2' eksplisit</t>
  </si>
  <si>
    <t xml:space="preserve">MVC Bab 9 saja; Tabel/Latar Belakang tak sebut istilah literal ini</t>
  </si>
  <si>
    <t xml:space="preserve">MVC Bab 10 saja; Tabel tak sebut nama tesisnya</t>
  </si>
  <si>
    <t xml:space="preserve">Tabel (dlm Fungsi baris Lambda Calculus); MVC Bab 10</t>
  </si>
  <si>
    <t xml:space="preserve">MVC Bab 21 saja</t>
  </si>
  <si>
    <t xml:space="preserve">MVC Bab 16 saja, murni analogi retoris</t>
  </si>
  <si>
    <t xml:space="preserve">MVC Bab 19,32 saja, murni analogi retoris</t>
  </si>
  <si>
    <t xml:space="preserve">MVC Bab 24 saja</t>
  </si>
  <si>
    <t xml:space="preserve">MVC Bab 31 saja, murni analogi retoris</t>
  </si>
  <si>
    <t xml:space="preserve">MVC Bab 35 saja</t>
  </si>
  <si>
    <t xml:space="preserve">MVC Bab 37 saja; tak disebut di Latar Belakang (berbeda dgn #1,#2,#8 yg disebut di sana)</t>
  </si>
  <si>
    <t xml:space="preserve">Tabel baris 1; MVC Bab 1</t>
  </si>
  <si>
    <t xml:space="preserve">Tabel baris 2; MVC Bab 2 ('Sejak Diophantus hingga Fermat')</t>
  </si>
  <si>
    <t xml:space="preserve">Tabel baris 2 saja; tak muncul di MVC/Daftar Pustaka</t>
  </si>
  <si>
    <t xml:space="preserve">Tabel baris 2; MVC Bab 2,3</t>
  </si>
  <si>
    <t xml:space="preserve">Tabel baris 3; MVC Bab 6; Daftar Pustaka 2</t>
  </si>
  <si>
    <t xml:space="preserve">Tabel baris 3,5; MVC Bab 6; Daftar Pustaka 2,4</t>
  </si>
  <si>
    <t xml:space="preserve">Tabel baris 4; MVC Bab 7; Daftar Pustaka 3</t>
  </si>
  <si>
    <t xml:space="preserve">Tabel baris 6 saja; MVC Bab 5 bahas 'mesin komputasi'/'halting problem' tanpa sebut nama Turing</t>
  </si>
  <si>
    <t xml:space="preserve">Tabel baris 7,8 (revisi); MVC Bab 9; Daftar Pustaka 5</t>
  </si>
  <si>
    <t xml:space="preserve">Tabel baris 7,12 (revisi); MVC Bab 9; Daftar Pustaka 6</t>
  </si>
  <si>
    <t xml:space="preserve">Tabel baris 8 (revisi); MVC Bab 9; Daftar Pustaka 7</t>
  </si>
  <si>
    <t xml:space="preserve">Tabel baris 8 (revisi) saja; tak muncul di MVC/Daftar Pustaka</t>
  </si>
  <si>
    <t xml:space="preserve">Tabel baris 9 (revisi); MVC Bab 11 (judul); Daftar Pustaka 8 -- CEK KUALITAS (Tahap 1.5, dicek ulang via QC): entri Daftar Pustaka 8 mencantumkan 'arXiv:2503.xxxxx' -- placeholder literal yg belum diisi CO sendiri di draftnya, bukan nomor sungguhan. Judul yg dikutip ('Hilbert's tenth problem for finitely generated rings') sebenarnya cocok dgn paper EKSPOSITORI Koymans-Pagano Feb 2026 (arXiv:2602.04468), bukan paper hasil asli Des 2024 'via additive combinatorics' (arXiv:2412.01768) -- draft CO mencampur judul+tahun dari 2 paper berbeda.</t>
  </si>
  <si>
    <t xml:space="preserve">Tabel baris 9 (revisi); MVC Bab 11 (judul); Daftar Pustaka 8 -- lihat catatan di entri Peter Koymans soal placeholder arXiv:2503.xxxxx yg belum diisi</t>
  </si>
  <si>
    <t xml:space="preserve">Tabel baris 10 (revisi); Daftar Pustaka 10 (tak disebut namanya di Bab MVC)</t>
  </si>
  <si>
    <t xml:space="preserve">Tabel baris 10 (revisi) saja; TIDAK muncul di MVC/Daftar Pustaka (bibliografi entri 10 hanya 'Tao, T.' tanpa 'Kai')</t>
  </si>
  <si>
    <t xml:space="preserve">Tabel baris 11 (revisi) &amp; Catatan Penting; MVC Bab 12; Daftar Pustaka 9</t>
  </si>
  <si>
    <t xml:space="preserve">Tabel baris 1 saja; MVC Bab 1 parafrase tanpa mengulang label literal</t>
  </si>
  <si>
    <t xml:space="preserve">Tabel baris 3; MVC Bab 6 (judul)</t>
  </si>
  <si>
    <t xml:space="preserve">Tabel baris 4; MVC Bab 7 (judul); Daftar Pustaka 3</t>
  </si>
  <si>
    <t xml:space="preserve">Tabel baris 5; MVC Bab 6; Daftar Pustaka 4</t>
  </si>
  <si>
    <t xml:space="preserve">Tabel baris 6; MVC Bab 6 (judul, 'Komputabilitas')</t>
  </si>
  <si>
    <t xml:space="preserve">Tabel baris 7; MVC Bab 9 (judul, 'Ring Lain')</t>
  </si>
  <si>
    <t xml:space="preserve">Tabel 3A baris 8 saja -- DIHAPUS dari tabel revisi 3B; MVC Bab 13 bahas tema serupa tanpa label literal</t>
  </si>
  <si>
    <t xml:space="preserve">Tabel baris 8 (revisi); MVC Bab 9,10</t>
  </si>
  <si>
    <t xml:space="preserve">Tabel baris 9 (revisi) &amp; Catatan Penting; MVC Bab 11 (judul)</t>
  </si>
  <si>
    <t xml:space="preserve">Tabel baris 10 (revisi) saja; MVC tak sebut 'Green-Tao'/'sieve' scr literal</t>
  </si>
  <si>
    <t xml:space="preserve">Tabel baris 11 (revisi); MVC Bab 12 (judul)</t>
  </si>
  <si>
    <t xml:space="preserve">Tabel baris 12 (revisi); MVC Bab 10 ('PR#10 untuk Q tetap terbuka'), Bab 14 ('masalah masih terbuka')</t>
  </si>
  <si>
    <t xml:space="preserve">Tabel baris 12 (Fungsi); MVC Bab 10 (judul), Bab 16</t>
  </si>
  <si>
    <t xml:space="preserve">MVC Bab 3 saja; tak disebut di Tabel/Latar Belakang</t>
  </si>
  <si>
    <t xml:space="preserve">MVC Bab 3 saja ('Last Theorem'); tak disebut di Tabel/Latar Belakang</t>
  </si>
  <si>
    <t xml:space="preserve">Catatan Penting Prep; MVC Bab 5,12</t>
  </si>
  <si>
    <t xml:space="preserve">Catatan Penting saja; MVC Bab 12 bahas Brossard &amp; halting problem TANPA menyebut istilah 'Rice's theorem' lagi scr literal (status Prep only tetap benar scr kriteria kemunculan literal, terlepas dari akurasi klaimnya)</t>
  </si>
  <si>
    <t xml:space="preserve">Catatan Penting Prep; MVC Bab 12,16</t>
  </si>
  <si>
    <t xml:space="preserve">Tabel baris 2; MVC Bab 2</t>
  </si>
  <si>
    <t xml:space="preserve">Tabel baris 1; MVC Bab 1 (judul 'Warisan Diophantus'); Daftar Pustaka Lapisan I</t>
  </si>
  <si>
    <t xml:space="preserve">Tabel baris 3; MVC Bab 6; Daftar Pustaka Lapisan II</t>
  </si>
  <si>
    <t xml:space="preserve">Tabel baris 4; MVC Bab 6; Daftar Pustaka Lapisan II (via Matiyasevich)</t>
  </si>
  <si>
    <t xml:space="preserve">Tabel baris 5; MVC Bab 6; Daftar Pustaka Lapisan II &amp; IV (buku 2000)</t>
  </si>
  <si>
    <t xml:space="preserve">Tabel baris 5; MVC Bab 6; Daftar Pustaka Lapisan II</t>
  </si>
  <si>
    <t xml:space="preserve">Tabel baris 6; MVC Bab 4 (judul); Daftar Pustaka Lapisan II</t>
  </si>
  <si>
    <t xml:space="preserve">Tabel baris 7; MVC Bab 5 (judul); Daftar Pustaka Lapisan II</t>
  </si>
  <si>
    <t xml:space="preserve">Tabel baris 8 saja; MVC Bab 3 bahas 'prosedur efektif' tanpa sebut nama Church; tak ada di Daftar Pustaka</t>
  </si>
  <si>
    <t xml:space="preserve">Tabel baris 9; MVC Bab 7; Daftar Pustaka Lapisan III</t>
  </si>
  <si>
    <t xml:space="preserve">Tabel baris 10; MVC Bab 8 (judul); Daftar Pustaka Lapisan III (2x, 2024/25 &amp; 2026)</t>
  </si>
  <si>
    <t xml:space="preserve">Tabel baris 10; MVC Bab 8 (judul); Daftar Pustaka Lapisan III (2x)</t>
  </si>
  <si>
    <t xml:space="preserve">Daftar Pustaka Lapisan I saja; tak disebut di Latar Belakang/Tabel</t>
  </si>
  <si>
    <t xml:space="preserve">Daftar Pustaka Lapisan III saja; Tabel baris 10 hanya sebut 'tim peneliti independen lain' tanpa nama</t>
  </si>
  <si>
    <t xml:space="preserve">Daftar Pustaka Lapisan III saja; tak disebut namanya di Tabel</t>
  </si>
  <si>
    <t xml:space="preserve">Daftar Pustaka Lapisan IV saja; tak disebut di Latar Belakang/Tabel</t>
  </si>
  <si>
    <t xml:space="preserve">Tabel baris 2; MVC Bab 2 ('23 Masalah Hilbert')</t>
  </si>
  <si>
    <t xml:space="preserve">Tabel baris 3; MVC Bab 6 (judul 'Kuartet MRDP')</t>
  </si>
  <si>
    <t xml:space="preserve">Tabel baris 4 saja; MVC Bab 6 hanya sebut 'perjalanan epik Robinson' tanpa nama hipotesis/Fibonacci</t>
  </si>
  <si>
    <t xml:space="preserve">Tabel baris 5 saja; MVC Bab 6 tak sebut istilah 'recursively enumerable' scr literal</t>
  </si>
  <si>
    <t xml:space="preserve">Tabel baris 7 &amp; Latar Belakang §4; MVC Bab 5 (judul); Daftar Pustaka Lapisan II</t>
  </si>
  <si>
    <t xml:space="preserve">Tabel baris 8 saja; MVC Bab 3 tak sebut 'lambda calculus' scr literal</t>
  </si>
  <si>
    <t xml:space="preserve">Tabel baris 9; MVC Bab 7 (judul); Daftar Pustaka Lapisan III</t>
  </si>
  <si>
    <t xml:space="preserve">Tabel baris 10; MVC Bab 8 (judul); Daftar Pustaka Lapisan III</t>
  </si>
  <si>
    <t xml:space="preserve">Tabel baris 11; MVC Bab 9 (judul 'Benteng Terakhir')</t>
  </si>
  <si>
    <t xml:space="preserve">Latar Belakang §1 saja; MVC Bab 2 parafrase 'Mimpi Besar Hilbert' tanpa mengulang kutipan</t>
  </si>
  <si>
    <t xml:space="preserve">MVC Bab 2 saja; tak disebut istilah 'formalisme' di Latar Belakang/Tabel</t>
  </si>
  <si>
    <t xml:space="preserve">Daftar Pustaka Lapisan I saja; Latar Belakang hanya deskripsikan tanpa kutip judul Jerman</t>
  </si>
  <si>
    <t xml:space="preserve">MVC Bab 11 (judul) &amp; Daftar Pustaka Lapisan IV saja; tak disinggung di Latar Belakang</t>
  </si>
  <si>
    <t xml:space="preserve">Tabel baris 1,4,15; MVC Bab 1,3</t>
  </si>
  <si>
    <t xml:space="preserve">Tabel baris 2; MVC Bab 2 (judul 'Warisan Alexandria')</t>
  </si>
  <si>
    <t xml:space="preserve">Tabel baris 3; MVC Bab 2,13</t>
  </si>
  <si>
    <t xml:space="preserve">Tabel baris 5; MVC Bab 6 (judul)</t>
  </si>
  <si>
    <t xml:space="preserve">Tabel baris 6,8; MVC Bab 7,8</t>
  </si>
  <si>
    <t xml:space="preserve">Tabel baris 7,8; MVC Bab 7; Daftar Pustaka Lapisan II</t>
  </si>
  <si>
    <t xml:space="preserve">Tabel baris 9,10; MVC Bab 9,10,19; Daftar Pustaka</t>
  </si>
  <si>
    <t xml:space="preserve">Tabel baris 10; MVC Bab 10,19; Daftar Pustaka (3 entri)</t>
  </si>
  <si>
    <t xml:space="preserve">Tabel baris 10; MVC Bab 10,19</t>
  </si>
  <si>
    <t xml:space="preserve">Tabel baris 11,17,18; MVC Bab 10,17; Daftar Pustaka</t>
  </si>
  <si>
    <t xml:space="preserve">Tabel baris 16,19,21; MVC Bab 13; Daftar Pustaka Lapisan III</t>
  </si>
  <si>
    <t xml:space="preserve">Tabel baris 18 ('Jones, Sato, Wada, Wiens'); MVC Bab 11; Daftar Pustaka Lapisan III</t>
  </si>
  <si>
    <t xml:space="preserve">Tabel baris 18; MVC Bab 11; Daftar Pustaka Lapisan III</t>
  </si>
  <si>
    <t xml:space="preserve">Tabel baris 19; MVC Bab 14; Daftar Pustaka Lapisan III</t>
  </si>
  <si>
    <t xml:space="preserve">Tabel baris 24; MVC Bab 2</t>
  </si>
  <si>
    <t xml:space="preserve">Tabel baris 12 saja; MVC tak sebut namanya lagi</t>
  </si>
  <si>
    <t xml:space="preserve">Tabel baris 16,22 saja -- CEK PENTING: nama &amp; hasil ini TIDAK muncul sama sekali di 21 bab MVC maupun Daftar Pustaka</t>
  </si>
  <si>
    <t xml:space="preserve">Tabel baris 16,22 saja -- sama seperti Koymans, absen total dari MVC/Daftar Pustaka</t>
  </si>
  <si>
    <t xml:space="preserve">Tabel baris 16 saja; tak muncul di MVC/Daftar Pustaka</t>
  </si>
  <si>
    <t xml:space="preserve">Tabel baris 19,20 saja; MVC Bab 14,20 bahas BSD/HTP-Q tanpa sebut nama Mazur</t>
  </si>
  <si>
    <t xml:space="preserve">Tabel baris 23 saja; tak muncul di MVC/Daftar Pustaka</t>
  </si>
  <si>
    <t xml:space="preserve">Tabel baris 25 saja; topik Coq/formal verification ini TIDAK ada babnya sama sekali di 21 bab MVC</t>
  </si>
  <si>
    <t xml:space="preserve">Tabel baris 25 saja; sama spt Kirst, absen dari MVC</t>
  </si>
  <si>
    <t xml:space="preserve">MVC Bab 2 saja; tak disebut di Tabel/Latar Belakang</t>
  </si>
  <si>
    <t xml:space="preserve">MVC Bab 2,5 saja; tak disebut di Tabel/Latar Belakang</t>
  </si>
  <si>
    <t xml:space="preserve">MVC Bab 4 saja, sekadar rujukan retoris 'dari aturan logistik Aristoteles'</t>
  </si>
  <si>
    <t xml:space="preserve">MVC Bab 7,12,19 saja; tak disebut di Tabel/Latar Belakang</t>
  </si>
  <si>
    <t xml:space="preserve">Daftar Pustaka Lapisan I saja</t>
  </si>
  <si>
    <t xml:space="preserve">Daftar Pustaka Lapisan II saja</t>
  </si>
  <si>
    <t xml:space="preserve">Daftar Pustaka Lapisan III saja; disinggung tanpa nama di MVC Bab 13 ('Wiles, 1995')</t>
  </si>
  <si>
    <t xml:space="preserve">Daftar Pustaka Lapisan III saja</t>
  </si>
  <si>
    <t xml:space="preserve">Daftar Pustaka Lapisan IV saja</t>
  </si>
  <si>
    <t xml:space="preserve">Daftar Pustaka Lapisan IV saja (2 entri)</t>
  </si>
  <si>
    <t xml:space="preserve">Daftar Pustaka Sumber Pendamping saja; CEK: buku ini ttg Grigori Perelman, tak terkait langsung PR#10</t>
  </si>
  <si>
    <t xml:space="preserve">Daftar Pustaka Sumber Pendamping saja</t>
  </si>
  <si>
    <t xml:space="preserve">Tabel baris 1; MVC Bab 3 (nada pernyataan 'process', 'finite operations')</t>
  </si>
  <si>
    <t xml:space="preserve">Tabel baris 2; MVC Bab 2 dst</t>
  </si>
  <si>
    <t xml:space="preserve">Tabel baris 4 &amp; Latar Belakang §1; MVC Bab 1,3</t>
  </si>
  <si>
    <t xml:space="preserve">Tabel baris 5 &amp; Latar Belakang §5; MVC Bab 6 (judul)</t>
  </si>
  <si>
    <t xml:space="preserve">Tabel baris 7; MVC Bab 7 (judul terkait)</t>
  </si>
  <si>
    <t xml:space="preserve">Tabel baris 8; MVC Bab 6,10</t>
  </si>
  <si>
    <t xml:space="preserve">Tabel baris 9; MVC Bab 9 (judul terkait)</t>
  </si>
  <si>
    <t xml:space="preserve">Tabel baris 10; MVC Bab 10 (judul 'Titik Balik — DPRM')</t>
  </si>
  <si>
    <t xml:space="preserve">Tabel baris 13 &amp; Scope §6; MVC Bab 2,13 (judul 'Dari Teori Bilangan ke...')</t>
  </si>
  <si>
    <t xml:space="preserve">Tabel baris 14 &amp; Scope §6; MVC Bab 12 (judul 'Hierarki Kompleksitas')</t>
  </si>
  <si>
    <t xml:space="preserve">Tabel baris 17; MVC Bab 2,5 (judul 'Pell, Fungsi Eksponensial')</t>
  </si>
  <si>
    <t xml:space="preserve">Tabel baris 18; MVC Bab 11 (judul 'Ekspresi Universal dalam Polinomial')</t>
  </si>
  <si>
    <t xml:space="preserve">Tabel baris 19; MVC Bab 14 (judul), Bab 20</t>
  </si>
  <si>
    <t xml:space="preserve">Tabel baris 21; MVC Bab 13</t>
  </si>
  <si>
    <t xml:space="preserve">Tabel baris 24; MVC Bab 12 ('kuadratik decidable vs kubik')</t>
  </si>
  <si>
    <t xml:space="preserve">Tabel baris 26 (Fungsi: '...jiwa Hilbert's program...'); MVC Bab 3,16</t>
  </si>
  <si>
    <t xml:space="preserve">Tabel baris 12 &amp; Scope §6 saja; tak disebut lagi di MVC</t>
  </si>
  <si>
    <t xml:space="preserve">Tabel baris 16 saja -- CEK PENTING: terobosan 2024-2026 paling signifikan di Tabel 3B, TAPI tak ada satu bab pun di MVC (21 bab) yg membahasnya scr eksplisit</t>
  </si>
  <si>
    <t xml:space="preserve">Tabel baris 20 saja; MVC Bab 14,20 tak sebut nama/hipotesis Mazur</t>
  </si>
  <si>
    <t xml:space="preserve">Tabel baris 22 saja; absen total dari MVC/Daftar Pustaka</t>
  </si>
  <si>
    <t xml:space="preserve">Tabel baris 23 saja; MVC Bab 14 sebut p-adic/fungsi rasional tp tak sebut R/C scr eksplisit</t>
  </si>
  <si>
    <t xml:space="preserve">Tabel baris 25 saja -- tak ada bab MVC yg membahas verifikasi formal/Coq sama sekali</t>
  </si>
  <si>
    <t xml:space="preserve">MVC Bab 7,12 saja</t>
  </si>
  <si>
    <t xml:space="preserve">MVC Bab 8 saja</t>
  </si>
  <si>
    <t xml:space="preserve">MVC Bab 12 saja</t>
  </si>
  <si>
    <t xml:space="preserve">MVC Bab 13 saja</t>
  </si>
  <si>
    <t xml:space="preserve">MVC Bab 14,20 saja; Tabel hanya sebut 'Hipotesis Mazur' tanpa nama BSD</t>
  </si>
  <si>
    <t xml:space="preserve">MVC Bab 14 saja</t>
  </si>
  <si>
    <t xml:space="preserve">MVC Bab 18 saja</t>
  </si>
  <si>
    <t xml:space="preserve">MVC Bab 19 saja</t>
  </si>
  <si>
    <t xml:space="preserve">MVC Bab 20 saja</t>
  </si>
  <si>
    <t xml:space="preserve">Tabel baris 1; MVC Bab 1.2 (judul 'Dari Diophantus ke Hilbert')</t>
  </si>
  <si>
    <t xml:space="preserve">Tabel baris 2,9,14; MVC Bab 1.3,4.2</t>
  </si>
  <si>
    <t xml:space="preserve">Tabel baris 3,9,11,14; MVC Bab 2.1</t>
  </si>
  <si>
    <t xml:space="preserve">Tabel baris 4,9,14; MVC Bab 2.1</t>
  </si>
  <si>
    <t xml:space="preserve">Tabel baris 5,12; MVC Bab 2.3; Daftar Pustaka</t>
  </si>
  <si>
    <t xml:space="preserve">Tabel baris 6,12; MVC Bab 2.2 (judul); Daftar Pustaka</t>
  </si>
  <si>
    <t xml:space="preserve">Tabel baris 7,12; MVC Bab 2.3; Daftar Pustaka</t>
  </si>
  <si>
    <t xml:space="preserve">Tabel baris 8,12; MVC Bab 2.4 (judul); Daftar Pustaka</t>
  </si>
  <si>
    <t xml:space="preserve">Tabel baris 9 saja; MVC Bab 2.1 sebut Entscheidungsproblem tanpa nama Ackermann</t>
  </si>
  <si>
    <t xml:space="preserve">Tabel baris 10; MVC Bab 1.2</t>
  </si>
  <si>
    <t xml:space="preserve">Tabel baris 10; MVC Bab 1.1,1.2</t>
  </si>
  <si>
    <t xml:space="preserve">Tabel baris 10; MVC Bab 1.2,1.5</t>
  </si>
  <si>
    <t xml:space="preserve">Tabel baris 14; MVC Bab 2.1,4.2</t>
  </si>
  <si>
    <t xml:space="preserve">Tabel baris 15,16,20; MVC Bab 3.2 (judul terkait); Daftar Pustaka</t>
  </si>
  <si>
    <t xml:space="preserve">Tabel baris 15,16,20; MVC Bab 3.2; Daftar Pustaka</t>
  </si>
  <si>
    <t xml:space="preserve">Tabel baris 15,20; MVC Bab 3.2; Daftar Pustaka</t>
  </si>
  <si>
    <t xml:space="preserve">Tabel baris 17 saja; tak muncul di MVC/Daftar Pustaka</t>
  </si>
  <si>
    <t xml:space="preserve">Tabel baris 18,19; MVC Bab 3.4,3.5; Daftar Pustaka</t>
  </si>
  <si>
    <t xml:space="preserve">MVC Bab 1.2 saja; tak disebut di Tabel baris 10 (yg hanya sebut Bachet/Fermat/Euler/Gauss)</t>
  </si>
  <si>
    <t xml:space="preserve">MVC Bab 1.5 saja</t>
  </si>
  <si>
    <t xml:space="preserve">Tabel baris 1; MVC Bab 1.1</t>
  </si>
  <si>
    <t xml:space="preserve">Tabel baris 2 &amp; Latar Belakang; MVC Bab 1.3</t>
  </si>
  <si>
    <t xml:space="preserve">Tabel baris 3 &amp; Scope §2 saja; MVC parafrase 'teori komputasi modern' tanpa istilah literal ini</t>
  </si>
  <si>
    <t xml:space="preserve">Tabel baris 4; MVC Bab 2.1</t>
  </si>
  <si>
    <t xml:space="preserve">Tabel baris 5 saja; MVC Bab 2.3 bahas 'fungsi eksponensial' bukan 'fungsi rekursif' scr literal</t>
  </si>
  <si>
    <t xml:space="preserve">Tabel baris 6; MVC Bab 2.2 (judul 'Visi Reduksi')</t>
  </si>
  <si>
    <t xml:space="preserve">Tabel baris 7; MVC Bab 2.3,2.4</t>
  </si>
  <si>
    <t xml:space="preserve">Tabel baris 8; MVC Bab 2.4 (judul terkait)</t>
  </si>
  <si>
    <t xml:space="preserve">Tabel baris 9 &amp; Scope §4; MVC Bab 2.1</t>
  </si>
  <si>
    <t xml:space="preserve">Tabel baris 11; MVC Bab 2.5</t>
  </si>
  <si>
    <t xml:space="preserve">Tabel baris 12 &amp; Latar Belakang; MVC Bab 2.2</t>
  </si>
  <si>
    <t xml:space="preserve">Tabel baris 13; MVC Bab 3.1 (judul)</t>
  </si>
  <si>
    <t xml:space="preserve">Tabel baris 14 saja; MVC Bab 4 bahas tema serupa tanpa istilah literal 'batas formalisme'</t>
  </si>
  <si>
    <t xml:space="preserve">Tabel baris 15; MVC Bab 3.2 (judul 'Gelombang Baru')</t>
  </si>
  <si>
    <t xml:space="preserve">Tabel baris 16; MVC Bab 3.3 (judul)</t>
  </si>
  <si>
    <t xml:space="preserve">Tabel baris 17; MVC Bab 3.1,3.6</t>
  </si>
  <si>
    <t xml:space="preserve">Tabel baris 18; MVC Bab 3.4 (koreksi: term semula gagal match krn simbol '(ν,δ)' disisipi di tengah frasa 'pasangan universal')</t>
  </si>
  <si>
    <t xml:space="preserve">Tabel baris 19; MVC Bab 3.5</t>
  </si>
  <si>
    <t xml:space="preserve">Tabel baris 20; MVC Bab 3.1,3.2</t>
  </si>
  <si>
    <t xml:space="preserve">Tabel baris 10 (Fungsi); MVC Bab 1.1</t>
  </si>
  <si>
    <t xml:space="preserve">MVC Bab 2.4 saja; tak disebut di Tabel/Latar Belakang</t>
  </si>
  <si>
    <t xml:space="preserve">Daftar Pustaka Sumber Historis saja; Latar Belakang deskriptif tanpa kutip judul Jerman</t>
  </si>
  <si>
    <t xml:space="preserve">Tabel baris 1; MVC I.2 (judul 'Warisan Diophantus')</t>
  </si>
  <si>
    <t xml:space="preserve">Tabel baris 2; MVC I.2</t>
  </si>
  <si>
    <t xml:space="preserve">Tabel (banyak baris); MVC I.4-I.5, II.2, Daftar Pustaka</t>
  </si>
  <si>
    <t xml:space="preserve">Tabel baris 5,6; MVC II.4 ('Hilbert-Ackermann')</t>
  </si>
  <si>
    <t xml:space="preserve">Tabel baris 9,25; MVC II.3 (judul); Daftar Pustaka</t>
  </si>
  <si>
    <t xml:space="preserve">Tabel baris 10,23; MVC II.5 (judul); Daftar Pustaka</t>
  </si>
  <si>
    <t xml:space="preserve">Tabel (banyak baris); MVC II.6-II.7 (judul); Daftar Pustaka</t>
  </si>
  <si>
    <t xml:space="preserve">Tabel (banyak baris); MVC III.3 (judul); Daftar Pustaka</t>
  </si>
  <si>
    <t xml:space="preserve">Tabel (banyak baris); MVC III.2 (judul); Daftar Pustaka (3 entri)</t>
  </si>
  <si>
    <t xml:space="preserve">Tabel (banyak baris); MVC III.2; Daftar Pustaka</t>
  </si>
  <si>
    <t xml:space="preserve">Tabel (banyak baris); MVC III.4 (judul); Daftar Pustaka (3 entri)</t>
  </si>
  <si>
    <t xml:space="preserve">Tabel 3B (2 baris); Daftar Pustaka</t>
  </si>
  <si>
    <t xml:space="preserve">Tabel 3B; Daftar Pustaka</t>
  </si>
  <si>
    <t xml:space="preserve">Tabel 3B; MVC III.9, penutup</t>
  </si>
  <si>
    <t xml:space="preserve">Tabel baris 13,14,23 saja; tak muncul di MVC/Daftar Pustaka</t>
  </si>
  <si>
    <t xml:space="preserve">Tabel baris 13,14,29(implisit),48,49 saja; tak muncul di MVC</t>
  </si>
  <si>
    <t xml:space="preserve">Tabel baris 25 saja ('Hermite, Lindemann, Gelfond, Schneider')</t>
  </si>
  <si>
    <t xml:space="preserve">Tabel baris 25 saja</t>
  </si>
  <si>
    <t xml:space="preserve">Tabel baris 27 saja</t>
  </si>
  <si>
    <t xml:space="preserve">Tabel 3B (2 baris) saja; tak muncul di MVC/Daftar Pustaka</t>
  </si>
  <si>
    <t xml:space="preserve">Tabel 3B saja</t>
  </si>
  <si>
    <t xml:space="preserve">Daftar Pustaka D saja; tak disebut di Latar Belakang/Tabel</t>
  </si>
  <si>
    <t xml:space="preserve">Tabel baris 1; MVC I.1 (judul)</t>
  </si>
  <si>
    <t xml:space="preserve">Tabel baris 3,7,8 &amp; Latar Belakang; MVC I.4,II.2 (judul)</t>
  </si>
  <si>
    <t xml:space="preserve">Tabel baris 4 &amp; Latar Belakang (Zona B); MVC I.6</t>
  </si>
  <si>
    <t xml:space="preserve">Tabel baris 6 &amp; Latar Belakang §6; MVC II.4 (judul)</t>
  </si>
  <si>
    <t xml:space="preserve">Tabel baris 10; MVC II.5 (judul)</t>
  </si>
  <si>
    <t xml:space="preserve">Tabel baris 11; MVC II.6 (judul)</t>
  </si>
  <si>
    <t xml:space="preserve">Tabel baris 11,12 &amp; Latar Belakang §8; MVC II.7 (judul)</t>
  </si>
  <si>
    <t xml:space="preserve">Tabel baris 12,13,22,23; MVC (berulang di banyak bab)</t>
  </si>
  <si>
    <t xml:space="preserve">Tabel baris 13,14; MVC III.1 (judul)</t>
  </si>
  <si>
    <t xml:space="preserve">Tabel baris 18,19,20,538; MVC III.5 (judul)</t>
  </si>
  <si>
    <t xml:space="preserve">Tabel baris 26; MVC Lapisan IV (tema keseluruhan)</t>
  </si>
  <si>
    <t xml:space="preserve">Tabel baris 28,563-565; MVC IV.7,IV.8</t>
  </si>
  <si>
    <t xml:space="preserve">Tabel 3B (2 baris); MVC III.8, trim-bab final</t>
  </si>
  <si>
    <t xml:space="preserve">Tabel 3B; MVC III.8</t>
  </si>
  <si>
    <t xml:space="preserve">Tabel 3B (2 baris); MVC III.9</t>
  </si>
  <si>
    <t xml:space="preserve">Tabel 3B; MVC III.9</t>
  </si>
  <si>
    <t xml:space="preserve">Tabel 3B &amp; Daftar Pustaka; MVC (tema arsitektur keseluruhan)</t>
  </si>
  <si>
    <t xml:space="preserve">Tabel 3B; MVC III.10,IV.7</t>
  </si>
  <si>
    <t xml:space="preserve">Tabel 3B; MVC III.10</t>
  </si>
  <si>
    <t xml:space="preserve">Tabel 3B (2 baris); MVC IV.7,IV.8</t>
  </si>
  <si>
    <t xml:space="preserve">Tabel baris 2 saja; MVC I.2 parafrase tanpa istilah literal ini</t>
  </si>
  <si>
    <t xml:space="preserve">Tabel baris 16 &amp; Daftar Pustaka (judul artikel) saja; MVC III.2 bahas isinya tanpa nama 'Davis-Putnam reduction' literal</t>
  </si>
  <si>
    <t xml:space="preserve">Tabel baris 17 saja; MVC pakai 'MRDP'/'breakthrough 1970' bukan istilah ini literal</t>
  </si>
  <si>
    <t xml:space="preserve">Tabel baris 20 &amp; Latar Belakang §8 saja; MVC IV.4 parafrase 'persamaan sbg mesin tersembunyi'</t>
  </si>
  <si>
    <t xml:space="preserve">Tabel baris 25 saja; tak disebut lagi di MVC</t>
  </si>
  <si>
    <t xml:space="preserve">Tabel baris 27 saja; MVC IV.6 bahas tema serupa tanpa istilah literal</t>
  </si>
  <si>
    <t xml:space="preserve">Tabel 3B saja; MVC III.8 sebut 'rings' dlm daftar tapi tak dielaborasi sbg topik literal terpisah</t>
  </si>
  <si>
    <t xml:space="preserve">Tabel 3B saja; tak disebut di MVC</t>
  </si>
  <si>
    <t xml:space="preserve">Tabel 3B saja; MVC IV.7 bahas AI scr umum tanpa istilah literal ini</t>
  </si>
  <si>
    <t xml:space="preserve">Tabel (banyak baris); MVC Bab 2,3; Daftar Pustaka</t>
  </si>
  <si>
    <t xml:space="preserve">Tabel baris 2; MVC Bab 6; Daftar Pustaka</t>
  </si>
  <si>
    <t xml:space="preserve">Tabel baris 3,6; MVC Bab 5 (judul); Daftar Pustaka</t>
  </si>
  <si>
    <t xml:space="preserve">Tabel baris 4,5,9; MVC Bab 4,7,9; Daftar Pustaka</t>
  </si>
  <si>
    <t xml:space="preserve">Tabel baris 5,9; MVC Bab 9; Daftar Pustaka</t>
  </si>
  <si>
    <t xml:space="preserve">Tabel baris 7; Daftar Pustaka ('Introduction to Metamathematics')</t>
  </si>
  <si>
    <t xml:space="preserve">Tabel baris 8; MVC Bab 8 (judul); Daftar Pustaka</t>
  </si>
  <si>
    <t xml:space="preserve">Tabel baris 8; MVC Bab 8; Daftar Pustaka</t>
  </si>
  <si>
    <t xml:space="preserve">Tabel baris 8; MVC Bab 8</t>
  </si>
  <si>
    <t xml:space="preserve">Tabel baris 12; MVC Bab 10; Daftar Pustaka</t>
  </si>
  <si>
    <t xml:space="preserve">Tabel baris 15; MVC Bab 13; Daftar Pustaka</t>
  </si>
  <si>
    <t xml:space="preserve">Tabel baris 18; MVC Bab 12; Daftar Pustaka</t>
  </si>
  <si>
    <t xml:space="preserve">Tabel baris 19; MVC Bab 15; Daftar Pustaka</t>
  </si>
  <si>
    <t xml:space="preserve">Tabel baris 12 saja; MVC/Daftar Pustaka hanya sitasi Cook (1971)</t>
  </si>
  <si>
    <t xml:space="preserve">Tabel baris 15 saja; MVC Bab 13/Daftar Pustaka hanya sitasi Shor</t>
  </si>
  <si>
    <t xml:space="preserve">Tabel baris 17 saja; MVC Bab 14/Daftar Pustaka sitasi buku umum (Russell-Norvig, Goodfellow dkk.), bukan nama ini</t>
  </si>
  <si>
    <t xml:space="preserve">Tabel baris 17 saja; sama spt Hinton, tak diulang di Draft</t>
  </si>
  <si>
    <t xml:space="preserve">Tabel baris 17 saja; tak diulang di Draft (koreksi verifikasi: term awal 'Ng,' sempat false positive krn cocok kata Indonesia 'yang,')</t>
  </si>
  <si>
    <t xml:space="preserve">Tabel baris 19 saja; Daftar Pustaka hanya sitasi Buterin &amp; Nakamoto, tak ada Wood</t>
  </si>
  <si>
    <t xml:space="preserve">Latar Belakang §1 saja; MVC Bab 1 sebut 'Teorema Terakhir Fermat' tanpa nama Wiles</t>
  </si>
  <si>
    <t xml:space="preserve">Daftar Pustaka Lapisan III saja; MVC Bab 11 sebut 'RSA' tanpa nama penulis</t>
  </si>
  <si>
    <t xml:space="preserve">Tabel baris 2 &amp; Latar Belakang §4; MVC Bab 6 (judul)</t>
  </si>
  <si>
    <t xml:space="preserve">Tabel baris 3 &amp; Latar Belakang §4; MVC Bab 5 (judul)</t>
  </si>
  <si>
    <t xml:space="preserve">Tabel baris 4; MVC Bab 4,7 (judul)</t>
  </si>
  <si>
    <t xml:space="preserve">Tabel baris 5; MVC Bab 4 (judul)</t>
  </si>
  <si>
    <t xml:space="preserve">Tabel baris 6 &amp; Latar Belakang §6; MVC Bab 3 (judul)</t>
  </si>
  <si>
    <t xml:space="preserve">Tabel baris 8 &amp; Latar Belakang §5; MVC Bab 8 (judul)</t>
  </si>
  <si>
    <t xml:space="preserve">Tabel baris 9 &amp; Latar Belakang §6; MVC Bab 9 (judul)</t>
  </si>
  <si>
    <t xml:space="preserve">Tabel baris 10 &amp; Latar Belakang §6; MVC Bab 11 (judul)</t>
  </si>
  <si>
    <t xml:space="preserve">Tabel baris 11 &amp; Latar Belakang §8; MVC Bab 12 (judul)</t>
  </si>
  <si>
    <t xml:space="preserve">Tabel baris 12 &amp; Latar Belakang §8; MVC Bab 10 (judul)</t>
  </si>
  <si>
    <t xml:space="preserve">Tabel baris 13,17 &amp; Latar Belakang §8; MVC Bab 14 (judul)</t>
  </si>
  <si>
    <t xml:space="preserve">Tabel baris 14 &amp; Latar Belakang §3; MVC Bab 3</t>
  </si>
  <si>
    <t xml:space="preserve">Tabel baris 15; MVC Bab 13 (judul)</t>
  </si>
  <si>
    <t xml:space="preserve">Tabel baris 16; MVC Bab 11</t>
  </si>
  <si>
    <t xml:space="preserve">Tabel baris 18; MVC Bab 12 (judul)</t>
  </si>
  <si>
    <t xml:space="preserve">Tabel baris 19; MVC Bab 15 (judul)</t>
  </si>
  <si>
    <t xml:space="preserve">Tabel baris 7 saja; tak disebut lagi di MVC/Daftar Pustaka</t>
  </si>
  <si>
    <t xml:space="preserve">Tabel baris 2; MVC Bab 1.2; Daftar Pustaka</t>
  </si>
  <si>
    <t xml:space="preserve">Tabel baris 3; MVC Bab 1.2</t>
  </si>
  <si>
    <t xml:space="preserve">Tabel baris 4; MVC Bab 1.2</t>
  </si>
  <si>
    <t xml:space="preserve">Tabel baris 5; MVC Bab 1.2</t>
  </si>
  <si>
    <t xml:space="preserve">Tabel baris 5; MVC Bab 1.2,4.2</t>
  </si>
  <si>
    <t xml:space="preserve">Tabel baris 6; MVC Bab 1.3,2.1; Daftar Pustaka</t>
  </si>
  <si>
    <t xml:space="preserve">Tabel baris 7; MVC Bab 1.3,2.1; Daftar Pustaka</t>
  </si>
  <si>
    <t xml:space="preserve">Tabel baris 7; MVC Bab 1.3,2.1</t>
  </si>
  <si>
    <t xml:space="preserve">Tabel baris 8; MVC Bab 1.3,2.2; Daftar Pustaka (2 entri)</t>
  </si>
  <si>
    <t xml:space="preserve">Tabel baris 9,14; MVC Bab 2.2,4.1; Daftar Pustaka</t>
  </si>
  <si>
    <t xml:space="preserve">Tabel baris 9,13; MVC Bab 2.2; Daftar Pustaka</t>
  </si>
  <si>
    <t xml:space="preserve">Tabel baris 10,13; MVC Bab 2.3,4.3; Daftar Pustaka</t>
  </si>
  <si>
    <t xml:space="preserve">Tabel baris 11; MVC Bab 1.1</t>
  </si>
  <si>
    <t xml:space="preserve">Tabel baris 12; MVC Bab 1.1</t>
  </si>
  <si>
    <t xml:space="preserve">Tabel baris 13; Daftar Pustaka</t>
  </si>
  <si>
    <t xml:space="preserve">Tabel baris 14; MVC Bab 4.1; Daftar Pustaka</t>
  </si>
  <si>
    <t xml:space="preserve">Tabel baris 14; Daftar Pustaka</t>
  </si>
  <si>
    <t xml:space="preserve">Tabel baris 15; MVC Bab 3.1; Daftar Pustaka</t>
  </si>
  <si>
    <t xml:space="preserve">Tabel baris 15; MVC Bab 3.1 (ejaan 'Lipschitz'); Daftar Pustaka (ejaan 'Lipshitz') -- KOREKSI Tahap 1.5 (dicek ulang via QC): ejaan benar justru 'Lipshitz' (sumber primer: halaman fakultas Purdue + volume AMS yg sama). Jadi entri Daftar Pustaka ME sudah BENAR; entri Tabel/MVC ME yg pakai 'Lipschitz' itu yg salah eja -- kebalikan dari kesimpulan awal Tahap 1.5.</t>
  </si>
  <si>
    <t xml:space="preserve">Tabel baris 15,16; MVC Bab 3.1; Daftar Pustaka</t>
  </si>
  <si>
    <t xml:space="preserve">Tabel baris 16; MVC Bab 3.2 (judul terkait); Daftar Pustaka</t>
  </si>
  <si>
    <t xml:space="preserve">Tabel baris 16,17; MVC Bab 3.2; Daftar Pustaka</t>
  </si>
  <si>
    <t xml:space="preserve">Tabel baris 16; MVC Bab 3.2; Daftar Pustaka</t>
  </si>
  <si>
    <t xml:space="preserve">Tabel baris 16 (Fungsi); MVC Bab 3.2; Daftar Pustaka</t>
  </si>
  <si>
    <t xml:space="preserve">Tabel baris 18,20; MVC Bab 3.3 (judul terkait); Daftar Pustaka</t>
  </si>
  <si>
    <t xml:space="preserve">Tabel baris 18,20; MVC Bab 3.3; Daftar Pustaka</t>
  </si>
  <si>
    <t xml:space="preserve">Tabel baris 18; MVC Bab 3.3; Daftar Pustaka</t>
  </si>
  <si>
    <t xml:space="preserve">Tabel baris 18; MVC Bab 3.3 (dlm rangkaian nama); Daftar Pustaka</t>
  </si>
  <si>
    <t xml:space="preserve">Tabel baris 16 (Fungsi); MVC Bab 3.2; Daftar Pustaka -- KOREKSI Tahap 1.5 (dicek ulang via QC): nama depan yg benar 'Kirsten' (Penn State), sebelumnya salah tertulis 'Katrina' di entri ini walau sudah dikonfirmasi 'Kirsten' saat ronde KI</t>
  </si>
  <si>
    <t xml:space="preserve">MVC Bab 1.3,2.1 saja; tak disebut di Latar Belakang/Tabel</t>
  </si>
  <si>
    <t xml:space="preserve">MVC Bab 2.3 saja</t>
  </si>
  <si>
    <t xml:space="preserve">MVC Bab 4.1 saja, sbg analogi ('pola sama seperti PR#1 dan #2')</t>
  </si>
  <si>
    <t xml:space="preserve">Tabel baris 2 &amp; Latar Belakang §3; MVC Bab 1.2 (judul terkait)</t>
  </si>
  <si>
    <t xml:space="preserve">Tabel baris 3 &amp; Latar Belakang §1; MVC Bab 1.2</t>
  </si>
  <si>
    <t xml:space="preserve">Tabel baris 4 &amp; Latar Belakang §3; MVC Bab 1.2</t>
  </si>
  <si>
    <t xml:space="preserve">Tabel baris 5 &amp; Latar Belakang §1; MVC Bab 1.2</t>
  </si>
  <si>
    <t xml:space="preserve">Tabel baris 8; MVC Bab 1.3 (Konjektur Davis 1949)</t>
  </si>
  <si>
    <t xml:space="preserve">Tabel baris 9; MVC Bab 2.2</t>
  </si>
  <si>
    <t xml:space="preserve">Tabel baris 10 &amp; Latar Belakang §4; MVC Bab 2.3</t>
  </si>
  <si>
    <t xml:space="preserve">Tabel baris 13; MVC Bab 2.3 (bonus persamaan universal)</t>
  </si>
  <si>
    <t xml:space="preserve">Tabel baris 14; MVC Bab 4.1</t>
  </si>
  <si>
    <t xml:space="preserve">Tabel baris 15; MVC Bab 3.1 (judul terkait)</t>
  </si>
  <si>
    <t xml:space="preserve">Tabel baris 16; MVC Bab 3.2 (judul 'Benteng Terakhir Bernama Q')</t>
  </si>
  <si>
    <t xml:space="preserve">Tabel baris 17; MVC Bab 3.2</t>
  </si>
  <si>
    <t xml:space="preserve">Tabel baris 18; MVC Bab 3.3 (judul)</t>
  </si>
  <si>
    <t xml:space="preserve">Tabel baris 19; MVC Bab 3.3</t>
  </si>
  <si>
    <t xml:space="preserve">Tabel baris 20; MVC Bab 3.3</t>
  </si>
  <si>
    <t xml:space="preserve">Tabel baris 6 &amp; Latar Belakang §4 saja; MVC Bab 2.1 parafrase 'sistem tidak bisa buktikan konsistensinya sendiri' tanpa istilah literal ini</t>
  </si>
  <si>
    <t xml:space="preserve">Tabel baris 11 saja; MVC Bab 1.1 sebut Lagrange tapi tanpa label 'alat representasi bilangan' literal</t>
  </si>
  <si>
    <t xml:space="preserve">Tabel baris 12 saja; MVC Bab 1.1 sebut Fermat tanpa label 'contoh motivasi klasik' literal</t>
  </si>
  <si>
    <t xml:space="preserve">Tabel baris 1; MVC Bab 2,3</t>
  </si>
  <si>
    <t xml:space="preserve">Tabel baris 2; MVC Bab 1 (judul)</t>
  </si>
  <si>
    <t xml:space="preserve">Tabel baris 3; MVC Bab 4; Daftar Pustaka</t>
  </si>
  <si>
    <t xml:space="preserve">Tabel baris 3; MVC Bab 4</t>
  </si>
  <si>
    <t xml:space="preserve">Tabel baris 4; MVC Bab 6; Daftar Pustaka</t>
  </si>
  <si>
    <t xml:space="preserve">Tabel baris 4; MVC Bab 7 (judul); Daftar Pustaka</t>
  </si>
  <si>
    <t xml:space="preserve">Tabel baris 5; MVC Bab 8 (judul); Daftar Pustaka</t>
  </si>
  <si>
    <t xml:space="preserve">Tabel baris 6; MVC Bab 10 (judul terkait); Daftar Pustaka</t>
  </si>
  <si>
    <t xml:space="preserve">Tabel baris 7; MVC Bab 2</t>
  </si>
  <si>
    <t xml:space="preserve">Tabel baris 7 &amp; Latar Belakang §1; MVC Bab 2</t>
  </si>
  <si>
    <t xml:space="preserve">Tabel baris 10,11; MVC Bab 12 (judul terkait); Daftar Pustaka</t>
  </si>
  <si>
    <t xml:space="preserve">Tabel baris 10,11; MVC Bab 12; Daftar Pustaka</t>
  </si>
  <si>
    <t xml:space="preserve">Tabel baris 11; MVC Bab 12; Daftar Pustaka</t>
  </si>
  <si>
    <t xml:space="preserve">Tabel baris 8 saja; MVC Bab 14 bahas kriptografi pasca-kuantum scr umum tanpa nama RSA/penemunya (koreksi verifikasi: term awal 'rsa' sempat false positive krn cocok substring kata 'peRSAmaan')</t>
  </si>
  <si>
    <t xml:space="preserve">Tabel baris 8 saja; tak muncul di MVC/Daftar Pustaka</t>
  </si>
  <si>
    <t xml:space="preserve">MVC Bab 1 saja; tak disebut di kolom Tokoh Tabel (row 2 hanya sebut Diophantus)</t>
  </si>
  <si>
    <t xml:space="preserve">MVC Bab 2 saja; tak disebut di Latar Belakang/Tabel</t>
  </si>
  <si>
    <t xml:space="preserve">MVC Bab 4 saja</t>
  </si>
  <si>
    <t xml:space="preserve">MVC Bab 5 (tabel ringkasan) saja</t>
  </si>
  <si>
    <t xml:space="preserve">MVC Bab 11 (judul terkait) saja; tak disebut di Tabel</t>
  </si>
  <si>
    <t xml:space="preserve">MVC Bab 11 saja; Daftar Pustaka</t>
  </si>
  <si>
    <t xml:space="preserve">Daftar Pustaka §2 saja</t>
  </si>
  <si>
    <t xml:space="preserve">Daftar Pustaka §4 saja</t>
  </si>
  <si>
    <t xml:space="preserve">Daftar Pustaka §5 saja</t>
  </si>
  <si>
    <t xml:space="preserve">Daftar Pustaka §5 saja, disebut sbg subjek buku ybs</t>
  </si>
  <si>
    <t xml:space="preserve">Tabel baris 4; MVC Bab 5-6</t>
  </si>
  <si>
    <t xml:space="preserve">Tabel baris 5 &amp; Latar Belakang §5; MVC Bab 9 (judul terkait)</t>
  </si>
  <si>
    <t xml:space="preserve">Tabel baris 6 &amp; Latar Belakang §5; MVC Bab 10</t>
  </si>
  <si>
    <t xml:space="preserve">Tabel baris 9; MVC Bab 11 (judul)</t>
  </si>
  <si>
    <t xml:space="preserve">Tabel baris 10; MVC Bab 12 (judul)</t>
  </si>
  <si>
    <t xml:space="preserve">Tabel baris 11; MVC Bab 13</t>
  </si>
  <si>
    <t xml:space="preserve">Tabel baris 12; MVC Bab 14 (judul terkait)</t>
  </si>
  <si>
    <t xml:space="preserve">Tabel baris 1 saja; MVC Bab 2-3 bahas isinya tanpa label 'Program Hilbert &amp; Formalisme' literal</t>
  </si>
  <si>
    <t xml:space="preserve">Tabel baris 8 saja; MVC Bab 14 bahas kriptografi pasca-kuantum scr umum tanpa sebut RSA scr eksplisit</t>
  </si>
  <si>
    <t xml:space="preserve">Model</t>
  </si>
  <si>
    <t xml:space="preserve">Jml Topik</t>
  </si>
  <si>
    <t xml:space="preserve">Jml Tokoh</t>
  </si>
  <si>
    <t xml:space="preserve">Match Rate (%)</t>
  </si>
  <si>
    <t xml:space="preserve">Catatan</t>
  </si>
  <si>
    <t xml:space="preserve">Grok</t>
  </si>
  <si>
    <t xml:space="preserve">Draft ringkas &amp; padat, gaya bullet points per Bab (bukan naratif seperti CL). 4 item Prep only (Emil du Bois-Reymond, Diophantus sbg nama literal, klaim 'ignorabimus', Teorema Ketidaklengkapan Gödel disebut namanya hanya di Tabel -- MVC Bab 4 cuma sebut 'karya Gödel (1931)'). 7 item Draft only: 4 nama baru murni dari Bab 9 (Denef, Lipshitz, Mazur, Rubin -- hasil parsial 1980an-2010an yg tak masuk Tabel), 2 dari Daftar Pustaka (Poonen, Howlett), 1 topik (makalah ekspositori Koymans-Pagano 2026). Temuan kualitas: baris Tabel 3B utk 'H10 atas Q' punya teks yg tampak rusak/typo ('Alexandra terbuka (masih aktif diteliti, m.l. Alexandra Shlapentokh dkk.)') -- kemungkinan kata 'masih' tertukar jadi 'Alexandra' di awal frasa. TEMUAN Tahap 1.5 (dicek ulang via QC, sumber primer): 'Leonard Lipshitz' -- ejaan yg dipakai GR ('Lipshitz') SUDAH BENAR (dikonfirmasi halaman fakultas Purdue resmi + volume AMS yg sama persis); kesimpulan awal Tahap 1.5 yg menuduh ini salah eja adalah KELIRU, sudah dibalik. 'J. Howlett' (Daftar Pustaka) TERVERIFIKASI AKURAT scr penuh: byline asli artikel 'New Proofs Probe the Limits of Mathematical Truth' (quantamagazine.org, 3 Feb 2025) memang Joseph Howlett -- venue Quanta Magazine yg disebut GR BENAR. Sebaliknya, sitasi 'Wolchover' di draft CL utk artikel yg SAMA ternyata KELIRU: dicek langsung ke arsip tulisan Wolchover di Quanta, ia tak pernah menulis ttg HTP (area liputannya fisika/Qualia). Jadi ini SATU artikel, byline yg benar Howlett; GR akurat, CL salah atribusi jurnalis. KOREKSI KECIL tambahan (dicek ulang via QC): entri 'Eisenträger' sempat salah tertulis nama depan 'Katrina', seharusnya 'Kirsten' (Penn State) -- sudah diperbaiki.</t>
  </si>
  <si>
    <t xml:space="preserve">Claude</t>
  </si>
  <si>
    <t xml:space="preserve">Draft sangat komprehensif (MVC 20 bab + Daftar Pustaka 4 kategori). 5 item Prep only (Emil du Bois-Reymond, Wilhelm Ackermann, Hilbert's Program, pidato 'Mathematische Probleme' secara literal, klaim 'ignoramus et ignorabimus' du Bois-Reymond) -- rencana Prep tak sepenuhnya dieksekusi verbatim ke MVC. 3 item Draft only (Tesis Church-Turing, Van Geel, Wolchover). Temuan kualitas: ejaan Lipschitz/Lipshitz tidak konsisten -- KOREKSI Tahap 1.5 (dicek ulang via QC): ejaan benar justru 'Lipshitz' (sumber primer: halaman fakultas Purdue), bukan 'Lipschitz' spt kesimpulan awal. TEMUAN Tahap 1.5 tambahan (dicek ulang via QC): entri 'Wolchover' di Daftar Pustaka adl GALAT FAKTUAL CL -- artikel yg dikutip byline aslinya Joseph Howlett, bukan Wolchover (dicek langsung ke arsip Quanta).</t>
  </si>
  <si>
    <t xml:space="preserve">Perplexity</t>
  </si>
  <si>
    <t xml:space="preserve">Draft dgn MATCH RATE TERTINGGI sejauh ini (~85%): 20/24 baris Tabel tereksekusi konsisten hingga MVC (26 sub-bab format 1.1-4.7) &amp; Daftar Pustaka. Ciri unik: Latar Belakang &amp; Tabel penuh sitasi URL inline (plato.stanford, arxiv, quantamagazine, dll.) -- gaya 'search-grounded' berbeda dari semua AI lain. Bibliografinya SANGAT ringan tokoh baru: nyaris SEMUA nama di Daftar Pustaka sudah ada di Tabel (hanya 'Mathematische Probleme' sbg item baru, itu pun cuma judul, bukan tokoh baru) -- banyak sumbernya institusional/ensiklopedia (Wikipedia, Stanford Encyclopedia, Encyclopedia of Mathematics, TheoremDB) drpd buku individual spt draft KI/TE. 4 item Prep only murni krn MVC parafrase konsep dgn istilah berbeda (bukan krn topiknya dihilangkan): 'teori komputabilitas' (MVC pakai 'teori komputasi modern'), 'fungsi rekursif' (MVC fokus 'fungsi eksponensial'), 'batas formalisme' (MVC bahas tema sama scr implisit), dan Ackermann/Koenigsmann (nama disebut di Tabel tp tak diulang). TEMUAN KUALITAS (TERVERIFIKASI Tahap 1.5): draft scr konsisten menulis inisial 'C. Ho' (bukan 'W. Ho'/Wei Ho) utk anggota tim Alpöge-Bhargava-Ho-Shnidman, di Tabel MAUPUN Daftar Pustaka -- dikonfirmasi via web search ini GALAT FAKTUAL PE (nama benar Wei Ho), bukan sekadar dugaan typo. VERIFIKASI: ditemukan &amp; diperbaiki 1 false negative -- term 'pasangan universal' gagal cocok krn notasi '(ν, δ)' disisipi di tengah frasa ('pasangan (ν, δ) universal'); setelah term diperbaiki, item ini terbukti Match bukan Prep only.</t>
  </si>
  <si>
    <t xml:space="preserve">Qwen</t>
  </si>
  <si>
    <t xml:space="preserve">AI KE-12/TERAKHIR dlm siklus PR#10. Draft bergaya 'panduan penulis' dgn banyak meta-komentar ('Mari kita susun...', 'Catatan untuk Lapisan...') dan tabel ringkasan per-Lapisan yg merekap Bab/Tokoh/Output -- format unik drpd 11 AI lain. Update tabel 3B-nya AKURAT scr faktual (mirip ME, GR, KI): menangkap Koymans-Pagano 2024 &amp; Alpöge dgn benar, meski dgn detail lebih sedikit drpd draft ME/KI/TE (tak menyebut Bhargava/Ho/Shnidman/Eisenträger/Poonen sbg tim kedua scr eksplisit -- hanya 'Lev Alpöge' disebut sbg 'dukungan karya'). 3 Tokoh Prep only (Rivest, Shamir, Adleman utk RSA) -- topik kriptografi disinggung lg di Bab 14 tp tanpa nama RSA/penemunya scr eksplisit. 11 Tokoh Draft only: beberapa organik dari narasi (Fermat, Brouwer, Herbrand, Post, Mazur, Poonen di Bab 4/5/11), sisanya murni Daftar Pustaka 'pelengkap suasana' (Reid, Penrose, Yandell, Singh, Hoffman -- termasuk Paul Erdős yg cuma disebut sbg subjek biografi Hoffman, bukan kontributor PR#10). VERIFIKASI: ditemukan &amp; diperbaiki 1 false positive besar -- term pendek 'rsa' ternyata cocok sbg substring kata Indonesia 'peRSAmaan' yg muncul 29x di seluruh Draft; setelah term diganti jadi nama lengkap (Rivest/Shamir/Adleman), terbukti ketiganya Prep only, bukan Match -- pengingat penting bhw substring pendek (2-3 huruf) sangat rawan false positive dlm teks Indonesia.</t>
  </si>
  <si>
    <t xml:space="preserve">Tera AI</t>
  </si>
  <si>
    <t xml:space="preserve">Draft besar: MVC 21 bab (4 lapisan x 5 bab + Gerbang), Daftar Pustaka 25 sumber dikelompokkan per lapisan + kategori 'Sumber Pendamping' (gaya/suasana) -- format mirip KI. TEMUAN PALING PENTING (butuh perhatian khusus di Tahap 1.5 &amp; narasi Tahap 3): Tabel 3B memuat riset terkini 2024-2026 yg sangat kaya (Koymans-Pagano, finitely generated rings, formal verifikasi Coq, Hipotesis Mazur, kasus R/C via Tarski-Seidenberg) TAPI tak satu pun dari 21 bab MVC yg benar2 membahasnya scr eksplisit -- diverifikasi ganda via grep, 0 kemunculan utk 'Koymans', 'Pagano', 'Coq', 'Mazur', 'Tarski', 'Seidenberg', 'finitely generated' di seluruh Draft. Bab 11-15 (harusnya 'Frontier') malah fokus ke topik lain: polinomial universal 1976, hierarki kompleksitas, kriptografi kurva eliptik generik, ekstensi Q/p-adic generik, filsafat. ARTINYA: riset Prep (Tabel) tentang terobosan paling mutakhir TIDAK tereksekusi ke MVC -- pola 'Prep kaya, Draft tak menindaklanjuti' yg jauh lebih ekstrem drpd AI lain manapun sejauh ini. Sebaliknya, 20 Tokoh Draft only (16 di antaranya murni dari Daftar Pustaka 'Sumber Pendamping'/filosofis: Hofstadter, Gessen, Alexander, Zammito, Nagel, Newman, Franzén, Hersh, dll.) menunjukkan MVC-nya justru memperkaya diri dgn rujukan filosofis/naratif yg sama sekali tak direncanakan di Tabel.</t>
  </si>
  <si>
    <t xml:space="preserve">Copilot</t>
  </si>
  <si>
    <t xml:space="preserve">Draft paling RINGKAS sejauh ini: MVC hanya 17 bab, Daftar Pustaka 10 entri -- semuanya tokoh yg sudah ada di Tabel, TIDAK ADA tokoh baru murni dari Daftar Pustaka (beda dari semua AI sebelumnya). Tabel 3B merevisi baris 'Persamaan Diofantin medan lain' dgn menambah nama (Denef, Koenigsmann) menggantikan placeholder 'komunitas teori bilangan modern', TAPI juga MENGHAPUS baris 'Filsafat matematika' dari 3A tanpa keterangan -- dicatat tetap sbg Prep only krn sempat muncul di 3A. 5 item Prep only Tokoh (Euler, Turing -- keduanya disebut di Tabel tp MVC-nya parafrase tanpa nama; Bhargava, Shnidman -- disebut di Tabel baris 'Elliptic curves' tp tak pernah muncul lagi; Kai -- lihat catatan di bawah). 3 item Draft only (Persamaan Pell, Fermat Kecil, Fermat's Last Theorem -- detail tradisi teori bilangan yg baru muncul di Bab 3 MVC). TEMUAN Tahap 1.5 (sudah diverifikasi via web search, KEDUANYA TERBUKTI AKURAT, bukan halusinasi spt dugaan awal): (1) 'Jonathan Brossard' (2026) &amp; klaimnya ttg bukti konstruktif PR#10 via Rocq/Coq terkait Rice's theorem -- paper riil arXiv:2604.16477, terbit April 2026 (setelah cutoff pengetahuan Claude, karena itu awalnya tak terverifikasi dari memori). Deskripsi CO cocok persis dgn abstrak aslinya. (2) 'Kai (2026)' sbg kontributor Green-Tao sieve extension MUNCUL JUGA di draft KI dgn klaim serupa -- keduanya merujuk Wataru Kai (Tohoku University), hasilnya (arXiv:2306.16983) memang dikutip di paper Koymans-Pagano &amp; ABHS. Konvergensi 2 AI independen pada figur yg sama ternyata krn keduanya akurat, bukan kebetulan halusinasi yg sama. (3) TEMUAN TAMBAHAN Tahap 1.5 (dicek ulang via QC): Daftar Pustaka entri 8 mencantumkan 'arXiv:2503.xxxxx' -- placeholder literal yg belum diisi CO sendiri, bukan disamarkan sengaja. Judul yg dikutip jg ternyata cocok dgn paper EKSPOSITORI Koymans-Pagano Feb 2026 (arXiv:2602.04468), bukan paper hasil asli Des 2024 (arXiv:2412.01768) -- draft CO mencampur judul &amp; tahun dari 2 paper Koymans-Pagano yg berbeda.</t>
  </si>
  <si>
    <t xml:space="preserve">Le Chat</t>
  </si>
  <si>
    <t xml:space="preserve">TEMUAN PALING PENTING: draft ini SAMA SEKALI tidak menyebut terobosan riil HTP 2020an (Koymans, Pagano, Alpoge, Bhargava, Ho, Shnidman, finitely generated rings dll. -- NIHIL, 0 kemunculan). Saat diminta 'update sampai 2026', draft malah menambah topik SEKITAR PR#10 yg tak nyambung langsung ke riset HTP: komputasi kuantum (Shor, Grover), kriptografi post-kuantum (NIST), AI/ML terkini (Hinton, LeCun, Ng), verifikasi program otomatis, blockchain (Buterin, Wood) -- Lapisan III 'FRONTIER' (Bab 10-15) jadi berisi scope creep ke tren komputer populer drpd riset matematis PR#10 aktual. 36 Tokoh Draft only (JUMLAH TERBANYAK dari semua AI sejauh ini) HAMPIR SEMUA murni dari Daftar Pustaka yg melebar jauh ke buku populer/textbook umum (AI ethics -- Floridi, Bostrom; quantum computing -- Nielsen-Chuang, Aaronson; general CS -- Knuth, Sipser; bahkan whitepaper Bitcoin/Ethereum) -- pola bibliography paling tangensial dari PR#10 di antara semua AI. TEMUAN KUALITAS PALING MENCURIGAKAN: entri Daftar Pustaka 'Rao, A. (2018). The Limits of Mathematics... AMS' -- judul ini sangat mirip buku KLASIK Gregory Chaitin 'The Limits of Mathematics' (Springer, bukan AMS) -- kemungkinan besar sitasi keliru/halusinasi yg menggabungkan judul asli dgn penulis &amp; penerbit yg salah. VERIFIKASI: ditemukan &amp; diperbaiki 1 false positive -- term 'Ng,' utk 'Andrew Ng' ternyata cocok kata Indonesia biasa ('yang,') bukan nama; setelah dikoreksi, Andrew Ng terbukti Prep only bukan Match.</t>
  </si>
  <si>
    <t xml:space="preserve">DeepSeek</t>
  </si>
  <si>
    <t xml:space="preserve">Draft bercorak akademis/kepustakaan (22 entri Daftar Pustaka, 4 kategori sumber). 8 item Prep only (Diophantus, Euler, Gauss, Ackermann, van den Dries, Levin, Karp, Friedman, Paulson, Cohen, +Problem Hilbert #1/#2/#6) -- tabel 3A/3B memuat banyak tokoh pendukung yang tak ditindaklanjuti eksplisit di MVC/Daftar Pustaka. 7 item Draft only (Tesis Church-Turing, Halting Problem, Bentuk normal Davis, Eliminasi Putnam, Hipotesis Julia Robinson bernama eksplisit, Barisan Fibonacci, Aksioma Peano) -- rincian teknis MVC Bab 3,5,6,7 yang tak muncul di Tabel. 3 Tokoh Draft only murni dari Daftar Pustaka (Enderton, Soare, Harrison). Tabel 3A memakai label topik tematik luas (mis. 'Logika Matematika &amp; Sistem Formal') alih-alih topik spesifik seperti draft CL.</t>
  </si>
  <si>
    <t xml:space="preserve">Kimi</t>
  </si>
  <si>
    <t xml:space="preserve">Draft JAUH terbesar dari semua AI sejauh ini: MVC 40 bab (bukan 12-20), tabel 36 baris, Daftar Pustaka 39 sumber dlm 8 kategori. 29 item Prep only -- proporsi besar krn tabel memuat banyak tokoh 'pendukung tematik' (Thue, Siegel, Cook, Levin, Lenstra, Wittgenstein, Grothendieck, Roth, Hardy, Littlewood, Chomsky, dll.) yg tak pernah ditindaklanjuti di MVC/Daftar Pustaka. 24 item Draft only, 15 di antaranya Tokoh MURNI dari Daftar Pustaka (Hofstadter, Penrose, Ruelle, Byers, Singh, Derbyshire, du Sautoy, Browder, Yandell, Reid, Petzold, dll.) -- draft ini jauh lebih bibliography-heavy drpd AI lain, banyak sumber hanya tangensial ke PR#10 (buku filsafat/populer). TEMUAN Tahap 1.5 (sudah diverifikasi via web search): (1) 'Kai (peneliti)' TERVERIFIKASI AKURAT -- nama lengkap Wataru Kai (Tohoku University), hasil Green-Tao utk number fields (arXiv:2306.16983) memang dikutip di kedua paper HTP 2024-2025. BUKAN halusinasi seperti dugaan awal. (2) Entri Daftar Pustaka Alpoge-Bhargava-Ho-Shnidman (2025) eksplisit berlabel arXiv:2501.00000 '(placeholder, sesuaikan dengan publikasi aktual)' -- draft SENDIRI mengakui ini nomor arXiv palsu/estimasi, bukan sitasi riil. (3) Ejaan 'Matiyasevich' vs 'Matijasevic' tidak konsisten (Daftar Pustaka B, entri Davis-Matijasevic-Robinson 1976). (4) Tabel punya sejumlah baris Topik yg tumpang tindih scr konsep tp diberi label berbeda demi memberi setiap tokoh barisnya sendiri (mis. 'Logika Matematika' [Davis] vs 'Teori Himpunan &amp; Logika' [Putnam] -- secara substansi topik yg sama). (5) Ditemukan &amp; dikoreksi 1 false positive verifikasi terprogram: term 'Post' di Draft semua berasal dari 'post-quantum/post-kuantum', bukan nama Emil Post -- setelah dikoreksi manual, Emil Post = Prep only (bukan Match). (6) TEMUAN TAMBAHAN Tahap 1.5 (dicek ulang via QC, dikonfirmasi via fetch langsung ke arXiv): nomor arXiv utk Koymans-Pagano di Daftar Pustaka (2401.05904) SALAH -- itu paper fisika nuklir tak terkait; nomor yg benar 2412.01768. Ini bukan placeholder yg disengaja, tapi nomor valid yg kebetulan mengarah ke paper lain -- kesalahan sitasi konkret, bukan sekadar 'CEK'.</t>
  </si>
  <si>
    <t xml:space="preserve">Gemini</t>
  </si>
  <si>
    <t xml:space="preserve">Draft sedang (12 bab MVC, Daftar Pustaka dikelompokkan per Lapisan -- format unik, AI lain pakai daftar flat). Tabel 3B TIDAK merevisi/reprint tabel 3A, hanya menambah 3 baris baru -- beda dari CL/DE/KI yg reprint penuh. 6 item Draft only Tokoh SEMUANYA dari Daftar Pustaka (Heath, Shnidman, Alpoge, Bhargava, Ho, Chaitin) -- khususnya menarik: Shnidman/Alpoge/Bhargava/Ho (tim ABHS 2025) TIDAK disebut namanya di Tabel (row 10 cuma bilang 'tim peneliti independen lain'), beda dari draft CL/GR/KI yg menampilkan mereka menonjol di Tabel. 1 Tokoh &amp; 3 Topik Prep only (Church/Lambda Calculus disebut di Tabel tp tak pernah muncul lagi; Hipotesis J.R./Fibonacci &amp; 'recursively enumerable' disebut di Tabel tp MVC Bab 6 cuma parafrase umum). Menarik: 'Mathematische Probleme' (judul asli pidato Hilbert) di sini DRAFT ONLY (muncul di Daftar Pustaka, bukan di Latar Belakang) -- kebalikan dari draft CL yg Prep only utk item yg sama. 3 Topik Draft only baru: Formalisme matematika, judul asli pidato, dan bab ttg PR#10 &amp; batas Artificial Intelligence (Bab 11) -- sudut pandang unik yg tak muncul di AI lain.</t>
  </si>
  <si>
    <t xml:space="preserve">Meta AI</t>
  </si>
  <si>
    <t xml:space="preserve">MATCH RATE TERTINGGI dari SEMUA 11 AI sejauh ini (54/63 = 86%): SEMUA 37 Tokoh dari Tabel (3A+3B) tereksekusi konsisten sampai ke MVC (12 bab, 4 Lapisan) &amp; Daftar Pustaka -- termasuk nama-nama teknis 'terdalam' spt Eisenträger, Dittmann, Daans, Skolem, Zhi-Wei Sun yg di AI lain sering jadi Prep only. Tabel 3B-nya paling AKURAT scr faktual di antara semua AI: menangkap persis rangkaian riset HTP 2020an yg benar (Denef-Lipschitz-Shapiro-Shlapentokh-Pheidas -&gt; Mazur-Poonen-Koenigsmann-Park -&gt; Eisenträger dkk -&gt; Koymans-Pagano &amp; Alpöge-Bhargava-Ho-Shnidman 2024-2025) -- kontras tajam dgn draft LE yg sama sekali tak menyentuh riset ini. 3 item Prep only HANYA soal label tabel yg tak diulang literal (bukan soal substansi hilang) -- 'Ketidaklengkapan Aritmetika', 'Alat Representasi Bilangan', 'Contoh Motivasi Klasik' semuanya konsepnya tetap ada di MVC, cuma nama kolom Topik-nya tak dikutip verbatim. 6 Tokoh Draft only wajar &amp; bernilai tambah: Emil Post (mengomentari PR#10 1944), Nikolai Vorob'ev (sumber ide Fibonacci Matiyasevich), Paul Cohen (analogi PR#1), dan 3 nama dari Daftar Pustaka (Hersh, Murty, Fodden). Tidak ditemukan temuan kualitas data yg mencurigakan (tak ada klaim aneh/tak terverifikasi spt 'Kai' di draft KI/CO atau 'Rao, A.' di draft LE) -- draft paling 'bersih' &amp; konsisten sejauh ini. KOREKSI KECIL Tahap 1.5 (dicek ulang via QC): entri 'Eisenträger' sempat salah tertulis nama depan 'Katrina', seharusnya 'Kirsten' (Penn State) -- sudah diperbaiki; tak mengubah penilaian draft ini tetap paling bersih.</t>
  </si>
  <si>
    <t xml:space="preserve">GPT</t>
  </si>
  <si>
    <t xml:space="preserve">Draft SANGAT BERBEDA gaya dari 8 AI lain: bergaya 'proses berpikir keras' bukan output final -- Tabel 3A+3B mencapai 58 baris (termasuk banyak baris dgn daftar 'dll.' berisi nama tangensial: Hermite/Lindemann/Gelfond/Schneider utk kontras PR#7, Lang/Serre, Lenstra/Pomerance/Cohen, Vojta/Bombieri). Section C unik: AI ini pertama menulis PETA 37-slot penuh (Lapisan I=6, II=9, III=10, IV=12 bab, masing2 dgn tabel cakupan topik), LALU secara eksplisit mengkritik diri sendiri ('kalau tujuan kita benar2 MVC, saya malah akan memangkasnya cukup brutal') dan mengusulkan versi final 15 bab + Gerbang. Kedua versi (37-slot &amp; 15-bab) dihitung sbg Draft krn sama2 di bawah '# C. MVC'. HASIL PALING MENONJOL: rasio Match/Prep-only nyaris 50:50 (37 Match, 36 Prep only) -- JAUH lebih rendah drpd AI lain manapun. ini krn 21 dari 22 Tokoh Prep-only adalah nama dlm daftar 'dll.' tabel 3B yg TAK PERNAH disebut lagi scr individual di 37 maupun 15 bab MVC manapun -- tabelnya riset sangat luas tapi chapter-nya sengaja tetap ramping mengikuti core cast (Hilbert-Godel-Church-Turing-Davis-Putnam-Robinson-Matiyasevich-Faltings-Poonen-Shlapentokh). Draft only HANYA 1 item (editor B. Jack Copeland dari Daftar Pustaka) -- draft ini nyaris tak memperkenalkan hal baru di Section C, konsisten dgn komentar eksplisit penulis bahwa 'detail nanti tinggal diisi ke slot yg sudah dibuat'. Daftar Pustaka sendiri juga di-trim eksplisit oleh AI dari 14 sumber jadi '7 Core Bibliography' berbintang -- pola self-editing berlapis yg tak ditemukan di AI manapun sejauh ini.</t>
  </si>
  <si>
    <t xml:space="preserve">Tag</t>
  </si>
  <si>
    <t xml:space="preserve">Jenis</t>
  </si>
  <si>
    <t xml:space="preserve">Jumlah AI</t>
  </si>
  <si>
    <t xml:space="preserve">Daftar AI</t>
  </si>
  <si>
    <t xml:space="preserve">Konsensus</t>
  </si>
  <si>
    <t xml:space="preserve">Kategori</t>
  </si>
  <si>
    <t xml:space="preserve">GR, CL, PE, QW, TE, CO, LE, DE, KI, GE, ME, GP</t>
  </si>
  <si>
    <t xml:space="preserve">12/12</t>
  </si>
  <si>
    <t xml:space="preserve">Universal (11-12/12)</t>
  </si>
  <si>
    <t xml:space="preserve">GR, CL, PE, QW, TE, LE, DE, KI, GE, ME, GP</t>
  </si>
  <si>
    <t xml:space="preserve">11/12</t>
  </si>
  <si>
    <t xml:space="preserve">GR, CL, QW, TE, CO, DE, GE, ME, GP</t>
  </si>
  <si>
    <t xml:space="preserve">9/12</t>
  </si>
  <si>
    <t xml:space="preserve">Mayoritas (7-10/12)</t>
  </si>
  <si>
    <t xml:space="preserve">GR, CL, PE, QW, TE, CO, KI, GE, ME</t>
  </si>
  <si>
    <t xml:space="preserve">GR, CL, QW, TE, DE, KI, ME, GP</t>
  </si>
  <si>
    <t xml:space="preserve">8/12</t>
  </si>
  <si>
    <t xml:space="preserve">PE, QW, TE, CO, DE, KI, ME, GP</t>
  </si>
  <si>
    <t xml:space="preserve">GR, CL, PE, CO, KI, GE, ME</t>
  </si>
  <si>
    <t xml:space="preserve">7/12</t>
  </si>
  <si>
    <t xml:space="preserve">GR, CL, PE, QW, KI, GE, ME</t>
  </si>
  <si>
    <t xml:space="preserve">GR, CL, TE, DE, ME, GP</t>
  </si>
  <si>
    <t xml:space="preserve">6/12</t>
  </si>
  <si>
    <t xml:space="preserve">Umum (4-6/12)</t>
  </si>
  <si>
    <t xml:space="preserve">GR, QW, TE, KI, ME, GP</t>
  </si>
  <si>
    <t xml:space="preserve">GR, CL, CO, KI, ME, GP</t>
  </si>
  <si>
    <t xml:space="preserve">GR, CL, PE, KI, GE, ME</t>
  </si>
  <si>
    <t xml:space="preserve">CL, PE, LE, DE, ME, GP</t>
  </si>
  <si>
    <t xml:space="preserve">TE, LE, KI, GP</t>
  </si>
  <si>
    <t xml:space="preserve">4/12</t>
  </si>
  <si>
    <t xml:space="preserve">PE, TE, DE, KI</t>
  </si>
  <si>
    <t xml:space="preserve">PE, TE, KI, ME</t>
  </si>
  <si>
    <t xml:space="preserve">PE, TE, CO, DE</t>
  </si>
  <si>
    <t xml:space="preserve">QW, TE, KI</t>
  </si>
  <si>
    <t xml:space="preserve">3/12</t>
  </si>
  <si>
    <t xml:space="preserve">Minoritas/Unik (1-3/12)</t>
  </si>
  <si>
    <t xml:space="preserve">TE, LE, KI</t>
  </si>
  <si>
    <t xml:space="preserve">QW, KI, ME</t>
  </si>
  <si>
    <t xml:space="preserve">PE, CO, ME</t>
  </si>
  <si>
    <t xml:space="preserve">GR, TE, ME</t>
  </si>
  <si>
    <t xml:space="preserve">GR, CL, ME</t>
  </si>
  <si>
    <t xml:space="preserve">LE, DE, KI</t>
  </si>
  <si>
    <t xml:space="preserve">TE, LE, GE</t>
  </si>
  <si>
    <t xml:space="preserve">QW, LE</t>
  </si>
  <si>
    <t xml:space="preserve">2/12</t>
  </si>
  <si>
    <t xml:space="preserve">TE, KI</t>
  </si>
  <si>
    <t xml:space="preserve">LE, GP</t>
  </si>
  <si>
    <t xml:space="preserve">GR, CL</t>
  </si>
  <si>
    <t xml:space="preserve">TE, LE</t>
  </si>
  <si>
    <t xml:space="preserve">CL, ME</t>
  </si>
  <si>
    <t xml:space="preserve">KI, GP</t>
  </si>
  <si>
    <t xml:space="preserve">LE, DE</t>
  </si>
  <si>
    <t xml:space="preserve">GR, KI</t>
  </si>
  <si>
    <t xml:space="preserve">QW, ME</t>
  </si>
  <si>
    <t xml:space="preserve">DE, ME</t>
  </si>
  <si>
    <t xml:space="preserve">TE, ME</t>
  </si>
  <si>
    <t xml:space="preserve">TE, DE</t>
  </si>
  <si>
    <t xml:space="preserve">QW, KI</t>
  </si>
  <si>
    <t xml:space="preserve">CO, KI</t>
  </si>
  <si>
    <t xml:space="preserve">1/12</t>
  </si>
  <si>
    <t xml:space="preserve">GR, CL, PE, QW, TE, CO, DE, KI, GE, ME, GP</t>
  </si>
  <si>
    <t xml:space="preserve">GR, CL, PE, QW, TE, CO, LE, DE, KI, ME, GP</t>
  </si>
  <si>
    <t xml:space="preserve">GR, CL, QW, TE, LE, DE, KI, GE, ME, GP</t>
  </si>
  <si>
    <t xml:space="preserve">10/12</t>
  </si>
  <si>
    <t xml:space="preserve">GR, CL, PE, QW, CO, LE, KI, GE, ME, GP</t>
  </si>
  <si>
    <t xml:space="preserve">GR, CL, PE, QW, TE, CO, KI, GE, ME, GP</t>
  </si>
  <si>
    <t xml:space="preserve">GR, PE, QW, CO, DE, KI, GE, ME, GP</t>
  </si>
  <si>
    <t xml:space="preserve">CL, PE, TE, LE, DE, KI, ME, GP</t>
  </si>
  <si>
    <t xml:space="preserve">PE, TE, CO, LE, DE, ME, GP</t>
  </si>
  <si>
    <t xml:space="preserve">GR, CL, PE, TE, CO, DE, GE</t>
  </si>
  <si>
    <t xml:space="preserve">GR, PE, QW, TE, CO, KI, ME</t>
  </si>
  <si>
    <t xml:space="preserve">CL, TE, CO, KI, GE, ME, GP</t>
  </si>
  <si>
    <t xml:space="preserve">PE, TE, CO, DE, GE, GP</t>
  </si>
  <si>
    <t xml:space="preserve">GR, CL, PE, TE, CO, KI</t>
  </si>
  <si>
    <t xml:space="preserve">GR, CL, PE, CO, ME</t>
  </si>
  <si>
    <t xml:space="preserve">5/12</t>
  </si>
  <si>
    <t xml:space="preserve">CL, PE, KI, GE, GP</t>
  </si>
  <si>
    <t xml:space="preserve">GR, CL, TE, CO, GE</t>
  </si>
  <si>
    <t xml:space="preserve">QW, LE, DE, KI, ME</t>
  </si>
  <si>
    <t xml:space="preserve">CL, TE, LE, DE, KI</t>
  </si>
  <si>
    <t xml:space="preserve">CL, TE, ME, GP</t>
  </si>
  <si>
    <t xml:space="preserve">TE, LE, DE, KI</t>
  </si>
  <si>
    <t xml:space="preserve">CL, PE, DE</t>
  </si>
  <si>
    <t xml:space="preserve">GR, CL, KI</t>
  </si>
  <si>
    <t xml:space="preserve">CL, TE, KI</t>
  </si>
  <si>
    <t xml:space="preserve">TE, CO, KI</t>
  </si>
  <si>
    <t xml:space="preserve">CL, TE, GP</t>
  </si>
  <si>
    <t xml:space="preserve">LE, GE, GP</t>
  </si>
  <si>
    <t xml:space="preserve">DE, KI, ME</t>
  </si>
  <si>
    <t xml:space="preserve">GR, DE, KI</t>
  </si>
  <si>
    <t xml:space="preserve">PE, DE, GP</t>
  </si>
  <si>
    <t xml:space="preserve">GR, CL, GE</t>
  </si>
  <si>
    <t xml:space="preserve">CO, KI, ME</t>
  </si>
  <si>
    <t xml:space="preserve">TE, DE, GP</t>
  </si>
  <si>
    <t xml:space="preserve">PE, GE</t>
  </si>
  <si>
    <t xml:space="preserve">PE, KI</t>
  </si>
  <si>
    <t xml:space="preserve">CL, GP</t>
  </si>
  <si>
    <t xml:space="preserve">CL, KI</t>
  </si>
  <si>
    <t xml:space="preserve">TE, GP</t>
  </si>
  <si>
    <t xml:space="preserve">DE, KI</t>
  </si>
  <si>
    <t xml:space="preserve">CL, TE</t>
  </si>
  <si>
    <t xml:space="preserve">RINGKASAN FINAL — Analisis Komparatif 12 AI: Problem Hilbert #10 (PR#10)</t>
  </si>
  <si>
    <t xml:space="preserve">A. STATISTIK KESELURUHAN  (semua nilai dihitung via formula dari sheet sumber)</t>
  </si>
  <si>
    <t xml:space="preserve">Metrik</t>
  </si>
  <si>
    <t xml:space="preserve">Nilai</t>
  </si>
  <si>
    <t xml:space="preserve">Sumber</t>
  </si>
  <si>
    <t xml:space="preserve">Total draft AI diproses</t>
  </si>
  <si>
    <t xml:space="preserve">Legend Tag AI</t>
  </si>
  <si>
    <t xml:space="preserve">Total baris mentah — Sheet Superset Topik-Tokoh</t>
  </si>
  <si>
    <t xml:space="preserve">Superset Topik-Tokoh</t>
  </si>
  <si>
    <t xml:space="preserve">Total baris mentah — Sheet Konsistensi Prep vs Draft</t>
  </si>
  <si>
    <t xml:space="preserve">Konsistensi Prep vs Draft</t>
  </si>
  <si>
    <t xml:space="preserve">Total kelompok kanonik (Tahap 2)</t>
  </si>
  <si>
    <t xml:space="preserve">Konsensus 12 AI</t>
  </si>
  <si>
    <t xml:space="preserve">   — Tokoh kanonik</t>
  </si>
  <si>
    <t xml:space="preserve">   — Topik kanonik</t>
  </si>
  <si>
    <t xml:space="preserve">Rasio pemadatan (baris mentah → kelompok kanonik)</t>
  </si>
  <si>
    <t xml:space="preserve">dihitung (1 - B8/B6)</t>
  </si>
  <si>
    <t xml:space="preserve">Rata-rata Jumlah AI per kelompok kanonik</t>
  </si>
  <si>
    <t xml:space="preserve">Konsensus 12 AI, kolom D</t>
  </si>
  <si>
    <t xml:space="preserve">Rata-rata Match Rate lintas 12 AI (%)  *lihat catatan bawah</t>
  </si>
  <si>
    <t xml:space="preserve">Ringkasan per AI, kolom E</t>
  </si>
  <si>
    <t xml:space="preserve">* Match Rate per AI = Match / (Match + Prep only); Draft only sengaja tak masuk penyebut (lihat Tahap 1). Metrik ini BEDA dari 'rata-rata Jumlah AI per kelompok kanonik' di atas — jangan dikonflasi meski labelnya mirip.</t>
  </si>
  <si>
    <t xml:space="preserve">B. RINGKASAN PER KATEGORI KONSENSUS</t>
  </si>
  <si>
    <t xml:space="preserve">Rentang
Jumlah AI</t>
  </si>
  <si>
    <t xml:space="preserve">Jml
Tokoh</t>
  </si>
  <si>
    <t xml:space="preserve">Jml
Topik</t>
  </si>
  <si>
    <t xml:space="preserve">Jml
Total</t>
  </si>
  <si>
    <t xml:space="preserve">% dari Total
Kanonik</t>
  </si>
  <si>
    <t xml:space="preserve">Insight Analitis</t>
  </si>
  <si>
    <t xml:space="preserve">Universal</t>
  </si>
  <si>
    <t xml:space="preserve">11–12/12</t>
  </si>
  <si>
    <t xml:space="preserve">9 Tokoh + 4 Topik = tulang punggung narasi HTP yang disepakati nyaris semua AI: pengusul (Hilbert), objek (persamaan Diophantine &amp; Program Hilbert/Formalisme), dan 4 tokoh penuntas 1961-1970 (Davis, Putnam, Robinson, Matiyasevich) plus Turing. Bahkan Church/Gödel 'hanya' 11/12 -- satu AI (LE) konsisten tak menyinggung salah satunya scr eksplisit.</t>
  </si>
  <si>
    <t xml:space="preserve">Mayoritas</t>
  </si>
  <si>
    <t xml:space="preserve">7–10/12</t>
  </si>
  <si>
    <t xml:space="preserve">Di sinilah terobosan 2024-2026 (Koymans-Pagano, tim Poonen/Bhargava/Alpöge/Shnidman) muncul sbg 'hampir-konsensus' (9-10/12) -- menunjukkan liputan riset terkini ini sudah cukup matang utk dianggap 'pengetahuan umum' lintas-AI, bukan temuan niche. Pengecualian mencolok: LE (tak sentuh sama sekali) dan kadang QW/GE (detail tim lebih tipis).</t>
  </si>
  <si>
    <t xml:space="preserve">Umum</t>
  </si>
  <si>
    <t xml:space="preserve">4–6/12</t>
  </si>
  <si>
    <t xml:space="preserve">Campuran topik teknis sekunder (Halting Problem, Persamaan Pell, Tesis Church-Turing) dan tokoh pendukung generalisasi ring (Denef, Shlapentokh, Ackermann). Menandakan bagian narasi yang 'diketahui tp opsional' -- AI yang lebih ringkas/naratif (CO, GE, QW) cenderung melewatkannya.</t>
  </si>
  <si>
    <t xml:space="preserve">Minoritas/Unik</t>
  </si>
  <si>
    <t xml:space="preserve">1–3/12</t>
  </si>
  <si>
    <t xml:space="preserve">83% dari seluruh kelompok kanonik. Didominasi Daftar Pustaka tangensial 1-AI (populer/filsafat di KI, TE, LE) dan detail super-spesifik (nama co-author ke-4/ke-5 dlm tim riset, sub-cabang teori bilangan versi KI). Di sinilah 'kepribadian' tiap AI paling kentara -- lihat Bagian E.</t>
  </si>
  <si>
    <t xml:space="preserve">TOTAL (cek silang)</t>
  </si>
  <si>
    <t xml:space="preserve">1–12/12</t>
  </si>
  <si>
    <t xml:space="preserve">Baris cek: kolom Nilai/Jml Total di sini HARUS = Total kelompok kanonik (baris A8) dan % HARUS = 100.0% -- kalau tidak, ada kelompok kanonik yang salah kategori atau tercecer.</t>
  </si>
  <si>
    <t xml:space="preserve">C. SOROTAN KONKRET</t>
  </si>
  <si>
    <t xml:space="preserve">C1. UNIVERSAL (11-12/12 AI) — disepakati / nyaris disepakati SEMUA AI</t>
  </si>
  <si>
    <t xml:space="preserve">Jml AI</t>
  </si>
  <si>
    <t xml:space="preserve">AI yang TIDAK menyebutnya</t>
  </si>
  <si>
    <t xml:space="preserve">(semua 12 AI)</t>
  </si>
  <si>
    <t xml:space="preserve">C2. MAYORITAS (7-10/12 AI) — konsensus kuat, belum bulat</t>
  </si>
  <si>
    <t xml:space="preserve">CO, PE</t>
  </si>
  <si>
    <t xml:space="preserve">DE, TE</t>
  </si>
  <si>
    <t xml:space="preserve">DE, LE</t>
  </si>
  <si>
    <t xml:space="preserve">KI, PE, LE</t>
  </si>
  <si>
    <t xml:space="preserve">DE, GP, LE</t>
  </si>
  <si>
    <t xml:space="preserve">CL, TE, LE</t>
  </si>
  <si>
    <t xml:space="preserve">CO, GE, PE, LE</t>
  </si>
  <si>
    <t xml:space="preserve">CL, GR, GE, LE</t>
  </si>
  <si>
    <t xml:space="preserve">GR, CO, GE, QW</t>
  </si>
  <si>
    <t xml:space="preserve">DE, TE, GP, LE, QW</t>
  </si>
  <si>
    <t xml:space="preserve">DE, CO, TE, GP, LE</t>
  </si>
  <si>
    <t xml:space="preserve">CL, GR, KI, GE, QW</t>
  </si>
  <si>
    <t xml:space="preserve">KI, GP, LE, ME, QW</t>
  </si>
  <si>
    <t xml:space="preserve">CL, DE, GE, GP, LE</t>
  </si>
  <si>
    <t xml:space="preserve">GR, DE, PE, LE, QW</t>
  </si>
  <si>
    <t xml:space="preserve">C3. UMUM (4-6/12 AI) — contoh representatif (bukan daftar penuh; lihat Sheet Konsensus 12 AI)</t>
  </si>
  <si>
    <t xml:space="preserve">AI yang menyebutnya</t>
  </si>
  <si>
    <t xml:space="preserve">CL, DE, GP, GR, ME, TE</t>
  </si>
  <si>
    <t xml:space="preserve">GP, GR, KI, ME, QW, TE</t>
  </si>
  <si>
    <t xml:space="preserve">CL, CO, GP, GR, KI, ME</t>
  </si>
  <si>
    <t xml:space="preserve">CL, GE, GR, KI, ME, PE</t>
  </si>
  <si>
    <t xml:space="preserve">CL, DE, GP, LE, ME, PE</t>
  </si>
  <si>
    <t xml:space="preserve">CO, DE, GE, GP, PE, TE</t>
  </si>
  <si>
    <t xml:space="preserve">CL, CO, GR, KI, PE, TE</t>
  </si>
  <si>
    <t xml:space="preserve">CL, CO, GR, ME, PE</t>
  </si>
  <si>
    <t xml:space="preserve">CL, GE, GP, KI, PE</t>
  </si>
  <si>
    <t xml:space="preserve">CL, CO, GE, GR, TE</t>
  </si>
  <si>
    <t xml:space="preserve">... 9 item Umum lain tidak ditampilkan di sini — lihat Sheet 'Konsensus 12 AI', filter Jumlah AI 4-6.</t>
  </si>
  <si>
    <t xml:space="preserve">C4. MINORITAS/UNIK MENARIK — kurasi manual, bukan sampel acak (lihat Bagian D utk konteks verifikasi)</t>
  </si>
  <si>
    <t xml:space="preserve">AI</t>
  </si>
  <si>
    <t xml:space="preserve">Kenapa menarik</t>
  </si>
  <si>
    <t xml:space="preserve">Awalnya dicurigai halusinasi (nama tunggal tanpa marga/konteks) di KEDUA AI scr independen -- setelah dicek Tahap 1.5, TERVERIFIKASI akurat: matematikawan riil (Tohoku University), hasilnya memang dikutip di paper Koymans-Pagano &amp; ABHS 2024-2025.</t>
  </si>
  <si>
    <t xml:space="preserve">Klaim plg spesifik &amp; terisolasi di seluruh 12 draft (bukti konstruktif PR#10 via Rocq/Coq terkait Rice's theorem) -- TERVERIFIKASI akurat: paper riil terbit April 2026, SETELAH cutoff pengetahuan Claude, sehingga awalnya tak bisa dikonfirmasi dari memori sama sekali.</t>
  </si>
  <si>
    <t xml:space="preserve">SATU-SATUNYA halusinasi terkonfirmasi di seluruh 12 draft. 'Rao, A. (2018). The Limits of Mathematics... AMS' adalah sitasi keliru; sumber asli adl Chaitin, G.J. 'The Limits of Mathematics' (Springer). Dikonfirmasi ganda: web search Claude + klarifikasi langsung user ke Le Chat.</t>
  </si>
  <si>
    <t xml:space="preserve">Salah atribusi jurnalis (byline asli artikel Quanta ybs adl Joseph Howlett, bukan Wolchover) -- dikonfirmasi via fetch langsung ke quantamagazine.org.</t>
  </si>
  <si>
    <t xml:space="preserve">CL, GR</t>
  </si>
  <si>
    <t xml:space="preserve">2 AI independen menangkap detail historis yang SAMA (sumber klaim 'ignorabimus' yg ditolak Hilbert) -- tak ada satupun AI lain yg menyinggungnya, menandakan detail otentik bukan halusinasi acak (2 halusinasi independen yg identik jauh lebih tak mungkin drpd 2 AI yg sama2 baca sumber sama).</t>
  </si>
  <si>
    <t xml:space="preserve">Satu-satunya AI yg menyinggung abc conjecture sbg topik terkait H10/Q -- koneksi matematis riil (Konjektur abc &amp; Mazur sama2 relevan bagi struktur solusi rasional) tp tak ditangkap 11 AI lain.</t>
  </si>
  <si>
    <t xml:space="preserve">GE, PE</t>
  </si>
  <si>
    <t xml:space="preserve">Contoh pola 'hilang saat pindah dari Tabel ke MVC' yg terjadi 2 ARAH berbeda: di draft CL istilah ini Prep-only (ada di Tabel, hilang di MVC); di draft GE malah Draft-only (muncul di Daftar Pustaka, tak ada di Latar Belakang). Pola yang sama, arah kebalikan, AI berbeda.</t>
  </si>
  <si>
    <t xml:space="preserve">D. TEMUAN KUALITAS DATA  (kompilasi Tahap 1.5 — semua sudah dicek via web search/fetch langsung)</t>
  </si>
  <si>
    <t xml:space="preserve">Temuan</t>
  </si>
  <si>
    <t xml:space="preserve">Status</t>
  </si>
  <si>
    <t xml:space="preserve">Detail / Sumber</t>
  </si>
  <si>
    <t xml:space="preserve">Sitasi 'Rao, A. (2018). The Limits of Mathematics... AMS'</t>
  </si>
  <si>
    <t xml:space="preserve">HALUSINASI TERKONFIRMASI</t>
  </si>
  <si>
    <t xml:space="preserve">Satu-satunya halusinasi terkonfirmasi di 12 draft. Sumber asli: Chaitin, G.J., 'The Limits of Mathematics', Springer (bukan AMS, bukan 'Rao, A.'). Dikonfirmasi via web search Claude DAN klarifikasi langsung user ke Le Chat (Le Chat sendiri mengakui &amp; minta maaf).</t>
  </si>
  <si>
    <t xml:space="preserve">Nomor arXiv utk Koymans-Pagano: 2401.05904</t>
  </si>
  <si>
    <t xml:space="preserve">SALAH SITASI (bukan placeholder)</t>
  </si>
  <si>
    <t xml:space="preserve">Nomor valid tp mengarah ke paper fisika nuklir tak terkait ('Full leading-order nuclear polarization in highly charged ions'). Nomor benar: 2412.01768. Dikonfirmasi via fetch langsung ke kedua URL arXiv.</t>
  </si>
  <si>
    <t xml:space="preserve">Sitasi Daftar Pustaka #8: 'arXiv:2503.xxxxx' + judul/tahun Koymans-Pagano</t>
  </si>
  <si>
    <t xml:space="preserve">PLACEHOLDER BELUM DIISI + JUDUL TERCAMPUR</t>
  </si>
  <si>
    <t xml:space="preserve">'xxxxx' adl placeholder literal yg tak pernah diisi CO. Judul yg dikutip ('...for finitely generated rings') sebenarnya milik paper EKSPOSITORI Feb 2026 (arXiv:2602.04468), bukan paper hasil asli Des 2024 (2412.01768) yg dirujuk draft lain -- CO mencampur 2 paper Koymans-Pagano berbeda.</t>
  </si>
  <si>
    <t xml:space="preserve">Sitasi 'Natalie Wolchover' utk artikel Quanta ttg terobosan HTP</t>
  </si>
  <si>
    <t xml:space="preserve">SALAH ATRIBUSI JURNALIS</t>
  </si>
  <si>
    <t xml:space="preserve">Byline asli artikel ('New Proofs Probe the Limits of Mathematical Truth', 3 Feb 2025) adl Joseph Howlett, bukan Wolchover. Dikonfirmasi via fetch langsung quantamagazine.org + cek arsip tulisan Wolchover (area liputannya fisika, tak pernah nulis ttg HTP). Draft GR punya sitasi BENAR utk artikel yg sama (Howlett).</t>
  </si>
  <si>
    <t xml:space="preserve">GR, ME</t>
  </si>
  <si>
    <t xml:space="preserve">Nama depan 'Katrina Eisenträger' (2 tempat)</t>
  </si>
  <si>
    <t xml:space="preserve">SALAH EJA (nama depan)</t>
  </si>
  <si>
    <t xml:space="preserve">Nama benar: Kirsten Eisenträger (Penn State). Terverifikasi via 6+ sumber akademik independen. Draft KI sendiri sudah benar sejak awal ('Kirsten').</t>
  </si>
  <si>
    <t xml:space="preserve">Inisial 'C. Ho' utk anggota tim Alpöge-Bhargava-Ho-Shnidman</t>
  </si>
  <si>
    <t xml:space="preserve">SALAH INISIAL (konsisten)</t>
  </si>
  <si>
    <t xml:space="preserve">Nama benar: Wei Ho. Ditulis 'C. Ho' scr KONSISTEN di Tabel maupun Daftar Pustaka PE -- bukan typo sekali ketik. Dikonfirmasi via Wikipedia &amp; paper asli arXiv:2501.18774.</t>
  </si>
  <si>
    <t xml:space="preserve">Atribusi 'Dominik Kirst, Yannick Forster' utk paper Coq H10</t>
  </si>
  <si>
    <t xml:space="preserve">ATRIBUSI PERLU NUANSA</t>
  </si>
  <si>
    <t xml:space="preserve">Kirst kontributor riil proyek Coq undecidability library &amp; co-author paper TERKAIT (Entscheidungsproblem/synthetic undecidability, Forster-Kirst-Smolka 2019) -- tapi paper SPESIFIK 'Hilbert's Tenth Problem in Coq' penulisnya Larchey-Wendling &amp; Forster (sesuai draft ME).</t>
  </si>
  <si>
    <t xml:space="preserve">Ejaan 'Matiyasevich' vs 'Matijasevic' tak konsisten dlm draft sendiri</t>
  </si>
  <si>
    <t xml:space="preserve">INKONSISTENSI INTERNAL</t>
  </si>
  <si>
    <t xml:space="preserve">Daftar Pustaka B punya entri 'Davis-Matijasevic-Robinson 1976' berdampingan dgn ejaan standar 'Matiyasevich' di tempat lain -- inkonsistensi internal draft, bukan kesalahan faktual.</t>
  </si>
  <si>
    <t xml:space="preserve">Baris Tabel 3B utk 'H10 atas Q' tampak rusak/typo</t>
  </si>
  <si>
    <t xml:space="preserve">TEKS RUSAK (Bukan faktual)</t>
  </si>
  <si>
    <t xml:space="preserve">Teks: 'Alexandra terbuka (masih aktif diteliti, m.l. Alexandra Shlapentokh dkk.)' -- kemungkinan kata 'masih' tertukar posisi jadi 'Alexandra' di awal frasa saat generasi teks.</t>
  </si>
  <si>
    <t xml:space="preserve">KI, CO</t>
  </si>
  <si>
    <t xml:space="preserve">'Wataru Kai' — kontributor Green-Tao utk number fields</t>
  </si>
  <si>
    <t xml:space="preserve">TERVERIFIKASI AKURAT (bukan halusinasi)</t>
  </si>
  <si>
    <t xml:space="preserve">Awalnya paling dicurigai (nama tunggal, muncul independen di 2 AI). Terverifikasi: Tohoku University, hasil arXiv:2306.16983 memang dikutip di paper Koymans-Pagano &amp; ABHS.</t>
  </si>
  <si>
    <t xml:space="preserve">'Jonathan Brossard' — bukti konstruktif via Rocq/Coq</t>
  </si>
  <si>
    <t xml:space="preserve">Klaim paling terisolasi &amp; spesifik di 12 draft. Paper riil, arXiv:2604.16477, terbit April 2026 -- SETELAH cutoff pengetahuan Claude (karena itu awalnya tak terverifikasi dari memori sama sekali).</t>
  </si>
  <si>
    <t xml:space="preserve">Riset HTP 2020an di Tabel 3B tak satupun masuk MVC</t>
  </si>
  <si>
    <t xml:space="preserve">GAP EKSEKUSI (bukan faktual)</t>
  </si>
  <si>
    <t xml:space="preserve">Koymans-Pagano, finitely generated rings, formal verifikasi Coq, Hipotesis Mazur, Tarski-Seidenberg -- SEMUA disebut rinci di Tabel tp 0 kemunculan di 21 bab MVC (diverifikasi via grep langsung ke teks).</t>
  </si>
  <si>
    <t xml:space="preserve">Riset HTP 2020an tak disinggung sama sekali</t>
  </si>
  <si>
    <t xml:space="preserve">GAP SUBSTANSI (bukan faktual)</t>
  </si>
  <si>
    <t xml:space="preserve">Koymans, Pagano, Alpöge, Bhargava, Ho, Shnidman -- NIHIL di seluruh draft. 'Update sampai 2026' malah diisi topik CS populer tangensial (blockchain, quantum computing, AI ethics) drpd riset HTP riil.</t>
  </si>
  <si>
    <t xml:space="preserve">Ringkasan: dari 12 draft, HANYA 1 halusinasi murni terkonfirmasi (LE/'Rao, A.'). 2 klaim yang PALING mencurigakan di awal audit ('Kai' dan 'Jonathan Brossard') justru terbukti akurat setelah dicek ke sumber primer -- pengingat bahwa kecurigaan intuitif (nama asing/tunggal, klaim sangat spesifik) tidak selalu berkorelasi dgn halusinasi, terutama utk riset yg sangat baru (beberapa terbit setelah cutoff pengetahuan Claude sendiri).</t>
  </si>
  <si>
    <t xml:space="preserve">E. PROFIL GAYA PER AI  (kolom angka via formula; Ciri Khas ditulis manual dari Tahap 1)</t>
  </si>
  <si>
    <t xml:space="preserve">Total
Item</t>
  </si>
  <si>
    <t xml:space="preserve">Match
Rate (%)</t>
  </si>
  <si>
    <t xml:space="preserve">Ciri Khas Utama</t>
  </si>
  <si>
    <t xml:space="preserve">Naratif &amp; runtut, MVC 20 bab. Match Rate 91.7% (tertinggi ke-2). Temuan kualitas: ejaan 'Lipshitz' vs 'Lipschitz' &amp; salah atribusi jurnalis Wolchover/Howlett.</t>
  </si>
  <si>
    <t xml:space="preserve">Ringkas &amp; padat, gaya bullet-point per bab. Match Rate 89.7% (tertinggi ke-3). 1 typo tabel terdeteksi ('Alexandra terbuka...').</t>
  </si>
  <si>
    <t xml:space="preserve">Bercorak akademis-kepustakaan, 22 sumber pustaka dlm 4 kategori. Label topik tematik luas drpd spesifik. Match Rate 71.1%.</t>
  </si>
  <si>
    <t xml:space="preserve">TERBESAR: MVC 40 bab, tabel 36 baris, 39 sumber pustaka. Bibliography-heavy (byk buku populer/filsafat). Match Rate 68.5% (terendah ke-2). 2 temuan awalnya dicurigai halusinasi, ternyata akurat ('Kai').</t>
  </si>
  <si>
    <t xml:space="preserve">Paling RINGKAS: MVC 17 bab, 10 sumber pustaka -- semua nama pustaka sudah ada di Tabel. Match Rate 75.0%. Berisi klaim paling spesifik &amp; terkini di seluruh siklus (paper Brossard, terbit setelah cutoff Claude) yg ternyata akurat.</t>
  </si>
  <si>
    <t xml:space="preserve">Draft sedang, Daftar Pustaka dikelompokkan per Lapisan (format unik). Tim ABHS 2025 tak disebut namanya di Tabel (beda dr CL/GR/KI). Match Rate 79.2%.</t>
  </si>
  <si>
    <t xml:space="preserve">Draft besar (21 bab, 25 sumber), tapi TEMUAN UTAMA: riset HTP 2020an di Tabel 3B (Koymans-Pagano, Coq, dll.) 0% tereksekusi ke MVC -- 'Prep kaya, Draft tak menindaklanjuti' paling ekstrem di antara 12 AI. Match Rate 69.4% (terendah ke-3).</t>
  </si>
  <si>
    <t xml:space="preserve">Gaya 'search-grounded': sitasi URL inline sepanjang Latar Belakang &amp; Tabel. Match Rate 88.4% (tertinggi ke-4). 1 galat faktual terverifikasi: inisial 'C. Ho' seharusnya 'Wei Ho'.</t>
  </si>
  <si>
    <t xml:space="preserve">PALING UNIK strukturnya: menulis peta 37-bab penuh, LALU mengkritik diri sendiri &amp; memangkas jadi 15 bab. Tabel 58 baris penuh nama 'et al.' tangensial yg nyaris tak tereksekusi ke MVC. Match Rate TERENDAH dari 12 AI (50.7%).</t>
  </si>
  <si>
    <t xml:space="preserve">TEMUAN UTAMA: sama sekali tak menyinggung riset HTP 2020an riil -- 'update ke 2026' malah diisi topik CS populer (blockchain, quantum, AI ethics). Draft only TERBANYAK dari 12 AI (37), hampir semua dari Daftar Pustaka tangensial. Match Rate 81.0%. Berisi satu-satunya halusinasi terkonfirmasi ('Rao, A.').</t>
  </si>
  <si>
    <t xml:space="preserve">Match Rate TERTINGGI dari 12 AI (94.7%) &amp; draft paling 'bersih': tabel 3B paling akurat scr faktual (menangkap rangkaian riset HTP 2020an dgn tepat termasuk nama-nama teknis mendalam spt Eisenträger/Dittmann/Daans). Tak ada temuan kualitas mencurigakan.</t>
  </si>
  <si>
    <t xml:space="preserve">Gaya 'panduan penulis' dgn banyak meta-komentar. Match Rate 82.8%. Update tabel akurat scr faktual meski detail tim lebih tipis dr ME/KI/TE. 1 false positive verifikasi terdeteksi (term pendek 'rsa' cocok substring kata 'peRSAmaan').</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</si>
</sst>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b val="true"/>
      <sz val="15"/>
      <color rgb="FFFFFFFF"/>
      <name val="Calibri"/>
      <family val="0"/>
      <charset val="1"/>
    </font>
    <font>
      <b val="true"/>
      <sz val="12"/>
      <color rgb="FFFFFFFF"/>
      <name val="Calibri"/>
      <family val="0"/>
      <charset val="1"/>
    </font>
    <font>
      <b val="true"/>
      <sz val="10"/>
      <color rgb="FFFFFFFF"/>
      <name val="Calibri"/>
      <family val="0"/>
      <charset val="1"/>
    </font>
    <font>
      <sz val="10"/>
      <name val="Calibri"/>
      <family val="0"/>
      <charset val="1"/>
    </font>
    <font>
      <i val="true"/>
      <sz val="10"/>
      <color rgb="FF555555"/>
      <name val="Calibri"/>
      <family val="0"/>
      <charset val="1"/>
    </font>
    <font>
      <b val="true"/>
      <sz val="10.5"/>
      <color rgb="FF1F4E78"/>
      <name val="Calibri"/>
      <family val="0"/>
      <charset val="1"/>
    </font>
  </fonts>
  <fills count="6">
    <fill>
      <patternFill patternType="none"/>
    </fill>
    <fill>
      <patternFill patternType="gray125"/>
    </fill>
    <fill>
      <patternFill patternType="solid">
        <fgColor rgb="FF1F4E78"/>
        <bgColor rgb="FF003366"/>
      </patternFill>
    </fill>
    <fill>
      <patternFill patternType="solid">
        <fgColor rgb="FF2E75B6"/>
        <bgColor rgb="FF4472C4"/>
      </patternFill>
    </fill>
    <fill>
      <patternFill patternType="solid">
        <fgColor rgb="FF4472C4"/>
        <bgColor rgb="FF2E75B6"/>
      </patternFill>
    </fill>
    <fill>
      <patternFill patternType="solid">
        <fgColor rgb="FFD9E2F3"/>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3" borderId="0" xfId="0" applyFont="true" applyBorder="true" applyAlignment="true" applyProtection="false">
      <alignment horizontal="left" vertical="center" textRotation="0" wrapText="false" indent="1"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2E75B6"/>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472C4"/>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Konsensus12AI" displayName="Konsensus12AI" ref="A1:G293" headerRowCount="1" totalsRowCount="0" totalsRowShown="0">
  <autoFilter ref="A1:G293"/>
  <tableColumns count="7">
    <tableColumn id="1" name="No"/>
    <tableColumn id="2" name="Kelompok Kanonik"/>
    <tableColumn id="3" name="Jenis"/>
    <tableColumn id="4" name="Jumlah AI"/>
    <tableColumn id="5" name="Daftar AI"/>
    <tableColumn id="6" name="Konsensus"/>
    <tableColumn id="7" name="Kategori"/>
  </tableColumns>
</table>
</file>

<file path=xl/tables/table2.xml><?xml version="1.0" encoding="utf-8"?>
<table xmlns="http://schemas.openxmlformats.org/spreadsheetml/2006/main" id="2" name="KonsistensiPrepVsDraft" displayName="KonsistensiPrepVsDraft" ref="A1:E1000" headerRowCount="1" totalsRowCount="0" totalsRowShown="0">
  <autoFilter ref="A1:E1000"/>
  <tableColumns count="5">
    <tableColumn id="1" name="No"/>
    <tableColumn id="2" name="Tag AI"/>
    <tableColumn id="3" name="Status (Match/Prep only/Draft only)"/>
    <tableColumn id="4" name="Item"/>
    <tableColumn id="5" name="Catatan/Lokasi"/>
  </tableColumns>
</table>
</file>

<file path=xl/tables/table3.xml><?xml version="1.0" encoding="utf-8"?>
<table xmlns="http://schemas.openxmlformats.org/spreadsheetml/2006/main" id="3" name="LegendTagAI" displayName="LegendTagAI" ref="A1:B13" headerRowCount="1" totalsRowCount="0" totalsRowShown="0">
  <autoFilter ref="A1:B13"/>
  <tableColumns count="2">
    <tableColumn id="1" name="Model"/>
    <tableColumn id="2" name="Tag"/>
  </tableColumns>
</table>
</file>

<file path=xl/tables/table4.xml><?xml version="1.0" encoding="utf-8"?>
<table xmlns="http://schemas.openxmlformats.org/spreadsheetml/2006/main" id="4" name="RingkasanPerAI" displayName="RingkasanPerAI" ref="A1:F13" headerRowCount="1" totalsRowCount="0" totalsRowShown="0">
  <autoFilter ref="A1:F13"/>
  <tableColumns count="6">
    <tableColumn id="1" name="Tag AI"/>
    <tableColumn id="2" name="Model"/>
    <tableColumn id="3" name="Jml Topik"/>
    <tableColumn id="4" name="Jml Tokoh"/>
    <tableColumn id="5" name="Match Rate (%)"/>
    <tableColumn id="6" name="Catatan"/>
  </tableColumns>
</table>
</file>

<file path=xl/tables/table5.xml><?xml version="1.0" encoding="utf-8"?>
<table xmlns="http://schemas.openxmlformats.org/spreadsheetml/2006/main" id="5" name="SupersetTopikTokoh" displayName="SupersetTopikTokoh" ref="A1:F1000" headerRowCount="1" totalsRowCount="0" totalsRowShown="0">
  <autoFilter ref="A1:F1000"/>
  <tableColumns count="6">
    <tableColumn id="1" name="No"/>
    <tableColumn id="2" name="Item"/>
    <tableColumn id="3" name="Jenis (Topik/Tokoh)"/>
    <tableColumn id="4" name="Konteks Singkat"/>
    <tableColumn id="5" name="Tag AI"/>
    <tableColumn id="6" name="Kelompok Kanoni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5.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8"/>
    <col collapsed="false" customWidth="true" hidden="false" outlineLevel="0" max="4" min="4" style="0" width="50"/>
    <col collapsed="false" customWidth="true" hidden="false" outlineLevel="0" max="5" min="5" style="0" width="10"/>
    <col collapsed="false" customWidth="true" hidden="false" outlineLevel="0" max="6" min="6" style="0" width="34"/>
  </cols>
  <sheetData>
    <row r="1" customFormat="false" ht="27.75" hidden="false" customHeight="true" outlineLevel="0" collapsed="false">
      <c r="A1" s="1" t="s">
        <v>0</v>
      </c>
      <c r="B1" s="1" t="s">
        <v>1</v>
      </c>
      <c r="C1" s="1" t="s">
        <v>2</v>
      </c>
      <c r="D1" s="1" t="s">
        <v>3</v>
      </c>
      <c r="E1" s="1" t="s">
        <v>4</v>
      </c>
      <c r="F1" s="1" t="s">
        <v>5</v>
      </c>
    </row>
    <row r="2" customFormat="false" ht="15" hidden="false" customHeight="false" outlineLevel="0" collapsed="false">
      <c r="A2" s="2" t="n">
        <v>1</v>
      </c>
      <c r="B2" s="2" t="s">
        <v>6</v>
      </c>
      <c r="C2" s="2" t="s">
        <v>7</v>
      </c>
      <c r="D2" s="2" t="s">
        <v>8</v>
      </c>
      <c r="E2" s="2" t="s">
        <v>9</v>
      </c>
      <c r="F2" s="2" t="s">
        <v>6</v>
      </c>
    </row>
    <row r="3" customFormat="false" ht="15" hidden="false" customHeight="false" outlineLevel="0" collapsed="false">
      <c r="A3" s="2" t="n">
        <v>2</v>
      </c>
      <c r="B3" s="2" t="s">
        <v>10</v>
      </c>
      <c r="C3" s="2" t="s">
        <v>7</v>
      </c>
      <c r="D3" s="2" t="s">
        <v>11</v>
      </c>
      <c r="E3" s="2" t="s">
        <v>9</v>
      </c>
      <c r="F3" s="2" t="s">
        <v>10</v>
      </c>
    </row>
    <row r="4" customFormat="false" ht="15" hidden="false" customHeight="false" outlineLevel="0" collapsed="false">
      <c r="A4" s="2" t="n">
        <v>3</v>
      </c>
      <c r="B4" s="2" t="s">
        <v>12</v>
      </c>
      <c r="C4" s="2" t="s">
        <v>7</v>
      </c>
      <c r="D4" s="2" t="s">
        <v>13</v>
      </c>
      <c r="E4" s="2" t="s">
        <v>9</v>
      </c>
      <c r="F4" s="2" t="s">
        <v>12</v>
      </c>
    </row>
    <row r="5" customFormat="false" ht="15" hidden="false" customHeight="false" outlineLevel="0" collapsed="false">
      <c r="A5" s="2" t="n">
        <v>4</v>
      </c>
      <c r="B5" s="2" t="s">
        <v>14</v>
      </c>
      <c r="C5" s="2" t="s">
        <v>7</v>
      </c>
      <c r="D5" s="2" t="s">
        <v>15</v>
      </c>
      <c r="E5" s="2" t="s">
        <v>9</v>
      </c>
      <c r="F5" s="2" t="s">
        <v>14</v>
      </c>
    </row>
    <row r="6" customFormat="false" ht="15" hidden="false" customHeight="false" outlineLevel="0" collapsed="false">
      <c r="A6" s="2" t="n">
        <v>5</v>
      </c>
      <c r="B6" s="2" t="s">
        <v>16</v>
      </c>
      <c r="C6" s="2" t="s">
        <v>7</v>
      </c>
      <c r="D6" s="2" t="s">
        <v>17</v>
      </c>
      <c r="E6" s="2" t="s">
        <v>9</v>
      </c>
      <c r="F6" s="2" t="s">
        <v>16</v>
      </c>
    </row>
    <row r="7" customFormat="false" ht="15" hidden="false" customHeight="false" outlineLevel="0" collapsed="false">
      <c r="A7" s="2" t="n">
        <v>6</v>
      </c>
      <c r="B7" s="2" t="s">
        <v>18</v>
      </c>
      <c r="C7" s="2" t="s">
        <v>7</v>
      </c>
      <c r="D7" s="2" t="s">
        <v>19</v>
      </c>
      <c r="E7" s="2" t="s">
        <v>9</v>
      </c>
      <c r="F7" s="2" t="s">
        <v>18</v>
      </c>
    </row>
    <row r="8" customFormat="false" ht="15" hidden="false" customHeight="false" outlineLevel="0" collapsed="false">
      <c r="A8" s="2" t="n">
        <v>7</v>
      </c>
      <c r="B8" s="2" t="s">
        <v>20</v>
      </c>
      <c r="C8" s="2" t="s">
        <v>7</v>
      </c>
      <c r="D8" s="2" t="s">
        <v>21</v>
      </c>
      <c r="E8" s="2" t="s">
        <v>9</v>
      </c>
      <c r="F8" s="2" t="s">
        <v>20</v>
      </c>
    </row>
    <row r="9" customFormat="false" ht="15" hidden="false" customHeight="false" outlineLevel="0" collapsed="false">
      <c r="A9" s="2" t="n">
        <v>8</v>
      </c>
      <c r="B9" s="2" t="s">
        <v>22</v>
      </c>
      <c r="C9" s="2" t="s">
        <v>7</v>
      </c>
      <c r="D9" s="2" t="s">
        <v>23</v>
      </c>
      <c r="E9" s="2" t="s">
        <v>9</v>
      </c>
      <c r="F9" s="2" t="s">
        <v>22</v>
      </c>
    </row>
    <row r="10" customFormat="false" ht="15" hidden="false" customHeight="false" outlineLevel="0" collapsed="false">
      <c r="A10" s="2" t="n">
        <v>9</v>
      </c>
      <c r="B10" s="2" t="s">
        <v>24</v>
      </c>
      <c r="C10" s="2" t="s">
        <v>7</v>
      </c>
      <c r="D10" s="2" t="s">
        <v>25</v>
      </c>
      <c r="E10" s="2" t="s">
        <v>9</v>
      </c>
      <c r="F10" s="2" t="s">
        <v>24</v>
      </c>
    </row>
    <row r="11" customFormat="false" ht="15" hidden="false" customHeight="false" outlineLevel="0" collapsed="false">
      <c r="A11" s="2" t="n">
        <v>10</v>
      </c>
      <c r="B11" s="2" t="s">
        <v>26</v>
      </c>
      <c r="C11" s="2" t="s">
        <v>7</v>
      </c>
      <c r="D11" s="2" t="s">
        <v>25</v>
      </c>
      <c r="E11" s="2" t="s">
        <v>9</v>
      </c>
      <c r="F11" s="2" t="s">
        <v>26</v>
      </c>
    </row>
    <row r="12" customFormat="false" ht="15" hidden="false" customHeight="false" outlineLevel="0" collapsed="false">
      <c r="A12" s="2" t="n">
        <v>11</v>
      </c>
      <c r="B12" s="2" t="s">
        <v>27</v>
      </c>
      <c r="C12" s="2" t="s">
        <v>7</v>
      </c>
      <c r="D12" s="2" t="s">
        <v>28</v>
      </c>
      <c r="E12" s="2" t="s">
        <v>9</v>
      </c>
      <c r="F12" s="2" t="s">
        <v>27</v>
      </c>
    </row>
    <row r="13" customFormat="false" ht="15" hidden="false" customHeight="false" outlineLevel="0" collapsed="false">
      <c r="A13" s="2" t="n">
        <v>12</v>
      </c>
      <c r="B13" s="2" t="s">
        <v>29</v>
      </c>
      <c r="C13" s="2" t="s">
        <v>7</v>
      </c>
      <c r="D13" s="2" t="s">
        <v>30</v>
      </c>
      <c r="E13" s="2" t="s">
        <v>9</v>
      </c>
      <c r="F13" s="2" t="s">
        <v>29</v>
      </c>
    </row>
    <row r="14" customFormat="false" ht="15" hidden="false" customHeight="false" outlineLevel="0" collapsed="false">
      <c r="A14" s="2" t="n">
        <v>13</v>
      </c>
      <c r="B14" s="2" t="s">
        <v>31</v>
      </c>
      <c r="C14" s="2" t="s">
        <v>7</v>
      </c>
      <c r="D14" s="2" t="s">
        <v>32</v>
      </c>
      <c r="E14" s="2" t="s">
        <v>9</v>
      </c>
      <c r="F14" s="2" t="s">
        <v>31</v>
      </c>
    </row>
    <row r="15" customFormat="false" ht="15" hidden="false" customHeight="false" outlineLevel="0" collapsed="false">
      <c r="A15" s="2" t="n">
        <v>14</v>
      </c>
      <c r="B15" s="2" t="s">
        <v>33</v>
      </c>
      <c r="C15" s="2" t="s">
        <v>7</v>
      </c>
      <c r="D15" s="2" t="s">
        <v>34</v>
      </c>
      <c r="E15" s="2" t="s">
        <v>9</v>
      </c>
      <c r="F15" s="2" t="s">
        <v>35</v>
      </c>
    </row>
    <row r="16" customFormat="false" ht="15" hidden="false" customHeight="false" outlineLevel="0" collapsed="false">
      <c r="A16" s="2" t="n">
        <v>15</v>
      </c>
      <c r="B16" s="2" t="s">
        <v>36</v>
      </c>
      <c r="C16" s="2" t="s">
        <v>7</v>
      </c>
      <c r="D16" s="2" t="s">
        <v>37</v>
      </c>
      <c r="E16" s="2" t="s">
        <v>9</v>
      </c>
      <c r="F16" s="2" t="s">
        <v>36</v>
      </c>
    </row>
    <row r="17" customFormat="false" ht="15" hidden="false" customHeight="false" outlineLevel="0" collapsed="false">
      <c r="A17" s="2" t="n">
        <v>16</v>
      </c>
      <c r="B17" s="2" t="s">
        <v>38</v>
      </c>
      <c r="C17" s="2" t="s">
        <v>7</v>
      </c>
      <c r="D17" s="2" t="s">
        <v>39</v>
      </c>
      <c r="E17" s="2" t="s">
        <v>9</v>
      </c>
      <c r="F17" s="2" t="s">
        <v>38</v>
      </c>
    </row>
    <row r="18" customFormat="false" ht="15" hidden="false" customHeight="false" outlineLevel="0" collapsed="false">
      <c r="A18" s="2" t="n">
        <v>17</v>
      </c>
      <c r="B18" s="2" t="s">
        <v>40</v>
      </c>
      <c r="C18" s="2" t="s">
        <v>7</v>
      </c>
      <c r="D18" s="2" t="s">
        <v>41</v>
      </c>
      <c r="E18" s="2" t="s">
        <v>9</v>
      </c>
      <c r="F18" s="2" t="s">
        <v>40</v>
      </c>
    </row>
    <row r="19" customFormat="false" ht="15" hidden="false" customHeight="false" outlineLevel="0" collapsed="false">
      <c r="A19" s="2" t="n">
        <v>18</v>
      </c>
      <c r="B19" s="2" t="s">
        <v>42</v>
      </c>
      <c r="C19" s="2" t="s">
        <v>7</v>
      </c>
      <c r="D19" s="2" t="s">
        <v>43</v>
      </c>
      <c r="E19" s="2" t="s">
        <v>9</v>
      </c>
      <c r="F19" s="2" t="s">
        <v>42</v>
      </c>
    </row>
    <row r="20" customFormat="false" ht="15" hidden="false" customHeight="false" outlineLevel="0" collapsed="false">
      <c r="A20" s="2" t="n">
        <v>19</v>
      </c>
      <c r="B20" s="2" t="s">
        <v>44</v>
      </c>
      <c r="C20" s="2" t="s">
        <v>7</v>
      </c>
      <c r="D20" s="2" t="s">
        <v>45</v>
      </c>
      <c r="E20" s="2" t="s">
        <v>9</v>
      </c>
      <c r="F20" s="2" t="s">
        <v>44</v>
      </c>
    </row>
    <row r="21" customFormat="false" ht="15" hidden="false" customHeight="false" outlineLevel="0" collapsed="false">
      <c r="A21" s="2" t="n">
        <v>20</v>
      </c>
      <c r="B21" s="2" t="s">
        <v>46</v>
      </c>
      <c r="C21" s="2" t="s">
        <v>7</v>
      </c>
      <c r="D21" s="2" t="s">
        <v>47</v>
      </c>
      <c r="E21" s="2" t="s">
        <v>9</v>
      </c>
      <c r="F21" s="2" t="s">
        <v>46</v>
      </c>
    </row>
    <row r="22" customFormat="false" ht="15" hidden="false" customHeight="false" outlineLevel="0" collapsed="false">
      <c r="A22" s="2" t="n">
        <v>21</v>
      </c>
      <c r="B22" s="2" t="s">
        <v>48</v>
      </c>
      <c r="C22" s="2" t="s">
        <v>7</v>
      </c>
      <c r="D22" s="2" t="s">
        <v>47</v>
      </c>
      <c r="E22" s="2" t="s">
        <v>9</v>
      </c>
      <c r="F22" s="2" t="s">
        <v>48</v>
      </c>
    </row>
    <row r="23" customFormat="false" ht="15" hidden="false" customHeight="false" outlineLevel="0" collapsed="false">
      <c r="A23" s="2" t="n">
        <v>22</v>
      </c>
      <c r="B23" s="2" t="s">
        <v>49</v>
      </c>
      <c r="C23" s="2" t="s">
        <v>7</v>
      </c>
      <c r="D23" s="2" t="s">
        <v>50</v>
      </c>
      <c r="E23" s="2" t="s">
        <v>9</v>
      </c>
      <c r="F23" s="2" t="s">
        <v>49</v>
      </c>
    </row>
    <row r="24" customFormat="false" ht="15" hidden="false" customHeight="false" outlineLevel="0" collapsed="false">
      <c r="A24" s="2" t="n">
        <v>23</v>
      </c>
      <c r="B24" s="2" t="s">
        <v>51</v>
      </c>
      <c r="C24" s="2" t="s">
        <v>7</v>
      </c>
      <c r="D24" s="2" t="s">
        <v>50</v>
      </c>
      <c r="E24" s="2" t="s">
        <v>9</v>
      </c>
      <c r="F24" s="2" t="s">
        <v>51</v>
      </c>
    </row>
    <row r="25" customFormat="false" ht="15" hidden="false" customHeight="false" outlineLevel="0" collapsed="false">
      <c r="A25" s="2" t="n">
        <v>24</v>
      </c>
      <c r="B25" s="2" t="s">
        <v>52</v>
      </c>
      <c r="C25" s="2" t="s">
        <v>7</v>
      </c>
      <c r="D25" s="2" t="s">
        <v>50</v>
      </c>
      <c r="E25" s="2" t="s">
        <v>9</v>
      </c>
      <c r="F25" s="2" t="s">
        <v>52</v>
      </c>
    </row>
    <row r="26" customFormat="false" ht="15" hidden="false" customHeight="false" outlineLevel="0" collapsed="false">
      <c r="A26" s="2" t="n">
        <v>25</v>
      </c>
      <c r="B26" s="2" t="s">
        <v>53</v>
      </c>
      <c r="C26" s="2" t="s">
        <v>7</v>
      </c>
      <c r="D26" s="2" t="s">
        <v>54</v>
      </c>
      <c r="E26" s="2" t="s">
        <v>9</v>
      </c>
      <c r="F26" s="2" t="s">
        <v>53</v>
      </c>
    </row>
    <row r="27" customFormat="false" ht="15" hidden="false" customHeight="false" outlineLevel="0" collapsed="false">
      <c r="A27" s="2" t="n">
        <v>26</v>
      </c>
      <c r="B27" s="2" t="s">
        <v>55</v>
      </c>
      <c r="C27" s="2" t="s">
        <v>7</v>
      </c>
      <c r="D27" s="2" t="s">
        <v>56</v>
      </c>
      <c r="E27" s="2" t="s">
        <v>9</v>
      </c>
      <c r="F27" s="2" t="s">
        <v>55</v>
      </c>
    </row>
    <row r="28" customFormat="false" ht="15" hidden="false" customHeight="false" outlineLevel="0" collapsed="false">
      <c r="A28" s="2" t="n">
        <v>27</v>
      </c>
      <c r="B28" s="2" t="s">
        <v>57</v>
      </c>
      <c r="C28" s="2" t="s">
        <v>7</v>
      </c>
      <c r="D28" s="2" t="s">
        <v>56</v>
      </c>
      <c r="E28" s="2" t="s">
        <v>9</v>
      </c>
      <c r="F28" s="2" t="s">
        <v>57</v>
      </c>
    </row>
    <row r="29" customFormat="false" ht="15" hidden="false" customHeight="false" outlineLevel="0" collapsed="false">
      <c r="A29" s="2" t="n">
        <v>28</v>
      </c>
      <c r="B29" s="2" t="s">
        <v>58</v>
      </c>
      <c r="C29" s="2" t="s">
        <v>7</v>
      </c>
      <c r="D29" s="2" t="s">
        <v>59</v>
      </c>
      <c r="E29" s="2" t="s">
        <v>9</v>
      </c>
      <c r="F29" s="2" t="s">
        <v>58</v>
      </c>
    </row>
    <row r="30" customFormat="false" ht="15" hidden="false" customHeight="false" outlineLevel="0" collapsed="false">
      <c r="A30" s="2" t="n">
        <v>29</v>
      </c>
      <c r="B30" s="2" t="s">
        <v>60</v>
      </c>
      <c r="C30" s="2" t="s">
        <v>7</v>
      </c>
      <c r="D30" s="2" t="s">
        <v>59</v>
      </c>
      <c r="E30" s="2" t="s">
        <v>9</v>
      </c>
      <c r="F30" s="2" t="s">
        <v>60</v>
      </c>
    </row>
    <row r="31" customFormat="false" ht="15" hidden="false" customHeight="false" outlineLevel="0" collapsed="false">
      <c r="A31" s="2" t="n">
        <v>30</v>
      </c>
      <c r="B31" s="2" t="s">
        <v>61</v>
      </c>
      <c r="C31" s="2" t="s">
        <v>7</v>
      </c>
      <c r="D31" s="2" t="s">
        <v>59</v>
      </c>
      <c r="E31" s="2" t="s">
        <v>9</v>
      </c>
      <c r="F31" s="2" t="s">
        <v>61</v>
      </c>
    </row>
    <row r="32" customFormat="false" ht="15" hidden="false" customHeight="false" outlineLevel="0" collapsed="false">
      <c r="A32" s="2" t="n">
        <v>31</v>
      </c>
      <c r="B32" s="2" t="s">
        <v>62</v>
      </c>
      <c r="C32" s="2" t="s">
        <v>7</v>
      </c>
      <c r="D32" s="2" t="s">
        <v>59</v>
      </c>
      <c r="E32" s="2" t="s">
        <v>9</v>
      </c>
      <c r="F32" s="2" t="s">
        <v>62</v>
      </c>
    </row>
    <row r="33" customFormat="false" ht="15" hidden="false" customHeight="false" outlineLevel="0" collapsed="false">
      <c r="A33" s="2" t="n">
        <v>32</v>
      </c>
      <c r="B33" s="2" t="s">
        <v>63</v>
      </c>
      <c r="C33" s="2" t="s">
        <v>7</v>
      </c>
      <c r="D33" s="2" t="s">
        <v>64</v>
      </c>
      <c r="E33" s="2" t="s">
        <v>9</v>
      </c>
      <c r="F33" s="2" t="s">
        <v>63</v>
      </c>
    </row>
    <row r="34" customFormat="false" ht="15" hidden="false" customHeight="false" outlineLevel="0" collapsed="false">
      <c r="A34" s="2" t="n">
        <v>33</v>
      </c>
      <c r="B34" s="2" t="s">
        <v>65</v>
      </c>
      <c r="C34" s="2" t="s">
        <v>7</v>
      </c>
      <c r="D34" s="2" t="s">
        <v>66</v>
      </c>
      <c r="E34" s="2" t="s">
        <v>9</v>
      </c>
      <c r="F34" s="2" t="s">
        <v>65</v>
      </c>
    </row>
    <row r="35" customFormat="false" ht="15" hidden="false" customHeight="false" outlineLevel="0" collapsed="false">
      <c r="A35" s="2" t="n">
        <v>34</v>
      </c>
      <c r="B35" s="2" t="s">
        <v>67</v>
      </c>
      <c r="C35" s="2" t="s">
        <v>68</v>
      </c>
      <c r="D35" s="2" t="s">
        <v>69</v>
      </c>
      <c r="E35" s="2" t="s">
        <v>9</v>
      </c>
      <c r="F35" s="2" t="s">
        <v>70</v>
      </c>
    </row>
    <row r="36" customFormat="false" ht="15" hidden="false" customHeight="false" outlineLevel="0" collapsed="false">
      <c r="A36" s="2" t="n">
        <v>35</v>
      </c>
      <c r="B36" s="2" t="s">
        <v>71</v>
      </c>
      <c r="C36" s="2" t="s">
        <v>68</v>
      </c>
      <c r="D36" s="2" t="s">
        <v>72</v>
      </c>
      <c r="E36" s="2" t="s">
        <v>9</v>
      </c>
      <c r="F36" s="2" t="s">
        <v>73</v>
      </c>
    </row>
    <row r="37" customFormat="false" ht="15" hidden="false" customHeight="false" outlineLevel="0" collapsed="false">
      <c r="A37" s="2" t="n">
        <v>36</v>
      </c>
      <c r="B37" s="2" t="s">
        <v>74</v>
      </c>
      <c r="C37" s="2" t="s">
        <v>68</v>
      </c>
      <c r="D37" s="2" t="s">
        <v>75</v>
      </c>
      <c r="E37" s="2" t="s">
        <v>9</v>
      </c>
      <c r="F37" s="2" t="s">
        <v>76</v>
      </c>
    </row>
    <row r="38" customFormat="false" ht="15" hidden="false" customHeight="false" outlineLevel="0" collapsed="false">
      <c r="A38" s="2" t="n">
        <v>37</v>
      </c>
      <c r="B38" s="2" t="s">
        <v>77</v>
      </c>
      <c r="C38" s="2" t="s">
        <v>68</v>
      </c>
      <c r="D38" s="2" t="s">
        <v>78</v>
      </c>
      <c r="E38" s="2" t="s">
        <v>9</v>
      </c>
      <c r="F38" s="2" t="s">
        <v>79</v>
      </c>
    </row>
    <row r="39" customFormat="false" ht="15" hidden="false" customHeight="false" outlineLevel="0" collapsed="false">
      <c r="A39" s="2" t="n">
        <v>38</v>
      </c>
      <c r="B39" s="2" t="s">
        <v>80</v>
      </c>
      <c r="C39" s="2" t="s">
        <v>68</v>
      </c>
      <c r="D39" s="2" t="s">
        <v>81</v>
      </c>
      <c r="E39" s="2" t="s">
        <v>9</v>
      </c>
      <c r="F39" s="2" t="s">
        <v>82</v>
      </c>
    </row>
    <row r="40" customFormat="false" ht="15" hidden="false" customHeight="false" outlineLevel="0" collapsed="false">
      <c r="A40" s="2" t="n">
        <v>39</v>
      </c>
      <c r="B40" s="2" t="s">
        <v>83</v>
      </c>
      <c r="C40" s="2" t="s">
        <v>68</v>
      </c>
      <c r="D40" s="2" t="s">
        <v>84</v>
      </c>
      <c r="E40" s="2" t="s">
        <v>9</v>
      </c>
      <c r="F40" s="2" t="s">
        <v>85</v>
      </c>
    </row>
    <row r="41" customFormat="false" ht="15" hidden="false" customHeight="false" outlineLevel="0" collapsed="false">
      <c r="A41" s="2" t="n">
        <v>40</v>
      </c>
      <c r="B41" s="2" t="s">
        <v>86</v>
      </c>
      <c r="C41" s="2" t="s">
        <v>68</v>
      </c>
      <c r="D41" s="2" t="s">
        <v>87</v>
      </c>
      <c r="E41" s="2" t="s">
        <v>9</v>
      </c>
      <c r="F41" s="2" t="s">
        <v>86</v>
      </c>
    </row>
    <row r="42" customFormat="false" ht="15" hidden="false" customHeight="false" outlineLevel="0" collapsed="false">
      <c r="A42" s="2" t="n">
        <v>41</v>
      </c>
      <c r="B42" s="2" t="s">
        <v>88</v>
      </c>
      <c r="C42" s="2" t="s">
        <v>68</v>
      </c>
      <c r="D42" s="2" t="s">
        <v>89</v>
      </c>
      <c r="E42" s="2" t="s">
        <v>9</v>
      </c>
      <c r="F42" s="2" t="s">
        <v>90</v>
      </c>
    </row>
    <row r="43" customFormat="false" ht="15" hidden="false" customHeight="false" outlineLevel="0" collapsed="false">
      <c r="A43" s="2" t="n">
        <v>42</v>
      </c>
      <c r="B43" s="2" t="s">
        <v>91</v>
      </c>
      <c r="C43" s="2" t="s">
        <v>68</v>
      </c>
      <c r="D43" s="2" t="s">
        <v>92</v>
      </c>
      <c r="E43" s="2" t="s">
        <v>9</v>
      </c>
      <c r="F43" s="2" t="s">
        <v>91</v>
      </c>
    </row>
    <row r="44" customFormat="false" ht="15" hidden="false" customHeight="false" outlineLevel="0" collapsed="false">
      <c r="A44" s="2" t="n">
        <v>43</v>
      </c>
      <c r="B44" s="2" t="s">
        <v>93</v>
      </c>
      <c r="C44" s="2" t="s">
        <v>68</v>
      </c>
      <c r="D44" s="2" t="s">
        <v>94</v>
      </c>
      <c r="E44" s="2" t="s">
        <v>9</v>
      </c>
      <c r="F44" s="2" t="s">
        <v>93</v>
      </c>
    </row>
    <row r="45" customFormat="false" ht="15" hidden="false" customHeight="false" outlineLevel="0" collapsed="false">
      <c r="A45" s="2" t="n">
        <v>44</v>
      </c>
      <c r="B45" s="2" t="s">
        <v>95</v>
      </c>
      <c r="C45" s="2" t="s">
        <v>68</v>
      </c>
      <c r="D45" s="2" t="s">
        <v>96</v>
      </c>
      <c r="E45" s="2" t="s">
        <v>9</v>
      </c>
      <c r="F45" s="2" t="s">
        <v>97</v>
      </c>
    </row>
    <row r="46" customFormat="false" ht="15" hidden="false" customHeight="false" outlineLevel="0" collapsed="false">
      <c r="A46" s="2" t="n">
        <v>45</v>
      </c>
      <c r="B46" s="2" t="s">
        <v>98</v>
      </c>
      <c r="C46" s="2" t="s">
        <v>68</v>
      </c>
      <c r="D46" s="2" t="s">
        <v>99</v>
      </c>
      <c r="E46" s="2" t="s">
        <v>9</v>
      </c>
      <c r="F46" s="2" t="s">
        <v>100</v>
      </c>
    </row>
    <row r="47" customFormat="false" ht="15" hidden="false" customHeight="false" outlineLevel="0" collapsed="false">
      <c r="A47" s="2" t="n">
        <v>46</v>
      </c>
      <c r="B47" s="2" t="s">
        <v>101</v>
      </c>
      <c r="C47" s="2" t="s">
        <v>68</v>
      </c>
      <c r="D47" s="2" t="s">
        <v>102</v>
      </c>
      <c r="E47" s="2" t="s">
        <v>9</v>
      </c>
      <c r="F47" s="2" t="s">
        <v>101</v>
      </c>
    </row>
    <row r="48" customFormat="false" ht="15" hidden="false" customHeight="false" outlineLevel="0" collapsed="false">
      <c r="A48" s="2" t="n">
        <v>47</v>
      </c>
      <c r="B48" s="2" t="s">
        <v>103</v>
      </c>
      <c r="C48" s="2" t="s">
        <v>68</v>
      </c>
      <c r="D48" s="2" t="s">
        <v>104</v>
      </c>
      <c r="E48" s="2" t="s">
        <v>9</v>
      </c>
      <c r="F48" s="2" t="s">
        <v>103</v>
      </c>
    </row>
    <row r="49" customFormat="false" ht="15" hidden="false" customHeight="false" outlineLevel="0" collapsed="false">
      <c r="A49" s="2" t="n">
        <v>48</v>
      </c>
      <c r="B49" s="2" t="s">
        <v>105</v>
      </c>
      <c r="C49" s="2" t="s">
        <v>68</v>
      </c>
      <c r="D49" s="2" t="s">
        <v>106</v>
      </c>
      <c r="E49" s="2" t="s">
        <v>9</v>
      </c>
      <c r="F49" s="2" t="s">
        <v>107</v>
      </c>
    </row>
    <row r="50" customFormat="false" ht="15" hidden="false" customHeight="false" outlineLevel="0" collapsed="false">
      <c r="A50" s="2" t="n">
        <v>49</v>
      </c>
      <c r="B50" s="2" t="s">
        <v>108</v>
      </c>
      <c r="C50" s="2" t="s">
        <v>68</v>
      </c>
      <c r="D50" s="2" t="s">
        <v>109</v>
      </c>
      <c r="E50" s="2" t="s">
        <v>9</v>
      </c>
      <c r="F50" s="2" t="s">
        <v>110</v>
      </c>
    </row>
    <row r="51" customFormat="false" ht="15" hidden="false" customHeight="false" outlineLevel="0" collapsed="false">
      <c r="A51" s="2" t="n">
        <v>50</v>
      </c>
      <c r="B51" s="2" t="s">
        <v>111</v>
      </c>
      <c r="C51" s="2" t="s">
        <v>68</v>
      </c>
      <c r="D51" s="2" t="s">
        <v>112</v>
      </c>
      <c r="E51" s="2" t="s">
        <v>9</v>
      </c>
      <c r="F51" s="2" t="s">
        <v>113</v>
      </c>
    </row>
    <row r="52" customFormat="false" ht="15" hidden="false" customHeight="false" outlineLevel="0" collapsed="false">
      <c r="A52" s="2" t="n">
        <v>51</v>
      </c>
      <c r="B52" s="2" t="s">
        <v>114</v>
      </c>
      <c r="C52" s="2" t="s">
        <v>68</v>
      </c>
      <c r="D52" s="2" t="s">
        <v>115</v>
      </c>
      <c r="E52" s="2" t="s">
        <v>9</v>
      </c>
      <c r="F52" s="2" t="s">
        <v>116</v>
      </c>
    </row>
    <row r="53" customFormat="false" ht="15" hidden="false" customHeight="false" outlineLevel="0" collapsed="false">
      <c r="A53" s="2" t="n">
        <v>52</v>
      </c>
      <c r="B53" s="2" t="s">
        <v>117</v>
      </c>
      <c r="C53" s="2" t="s">
        <v>68</v>
      </c>
      <c r="D53" s="2" t="s">
        <v>118</v>
      </c>
      <c r="E53" s="2" t="s">
        <v>9</v>
      </c>
      <c r="F53" s="2" t="s">
        <v>117</v>
      </c>
    </row>
    <row r="54" customFormat="false" ht="15" hidden="false" customHeight="false" outlineLevel="0" collapsed="false">
      <c r="A54" s="2" t="n">
        <v>53</v>
      </c>
      <c r="B54" s="2" t="s">
        <v>119</v>
      </c>
      <c r="C54" s="2" t="s">
        <v>68</v>
      </c>
      <c r="D54" s="2" t="s">
        <v>120</v>
      </c>
      <c r="E54" s="2" t="s">
        <v>9</v>
      </c>
      <c r="F54" s="2" t="s">
        <v>121</v>
      </c>
    </row>
    <row r="55" customFormat="false" ht="15" hidden="false" customHeight="false" outlineLevel="0" collapsed="false">
      <c r="A55" s="2" t="n">
        <v>54</v>
      </c>
      <c r="B55" s="2" t="s">
        <v>122</v>
      </c>
      <c r="C55" s="2" t="s">
        <v>68</v>
      </c>
      <c r="D55" s="2" t="s">
        <v>123</v>
      </c>
      <c r="E55" s="2" t="s">
        <v>9</v>
      </c>
      <c r="F55" s="2" t="s">
        <v>124</v>
      </c>
    </row>
    <row r="56" customFormat="false" ht="15" hidden="false" customHeight="false" outlineLevel="0" collapsed="false">
      <c r="A56" s="2" t="n">
        <v>55</v>
      </c>
      <c r="B56" s="2" t="s">
        <v>125</v>
      </c>
      <c r="C56" s="2" t="s">
        <v>68</v>
      </c>
      <c r="D56" s="2" t="s">
        <v>126</v>
      </c>
      <c r="E56" s="2" t="s">
        <v>9</v>
      </c>
      <c r="F56" s="2" t="s">
        <v>127</v>
      </c>
    </row>
    <row r="57" customFormat="false" ht="15" hidden="false" customHeight="false" outlineLevel="0" collapsed="false">
      <c r="A57" s="2" t="n">
        <v>56</v>
      </c>
      <c r="B57" s="2" t="s">
        <v>128</v>
      </c>
      <c r="C57" s="2" t="s">
        <v>68</v>
      </c>
      <c r="D57" s="2" t="s">
        <v>129</v>
      </c>
      <c r="E57" s="2" t="s">
        <v>9</v>
      </c>
      <c r="F57" s="2" t="s">
        <v>130</v>
      </c>
    </row>
    <row r="58" customFormat="false" ht="15" hidden="false" customHeight="false" outlineLevel="0" collapsed="false">
      <c r="A58" s="2" t="n">
        <v>57</v>
      </c>
      <c r="B58" s="2" t="s">
        <v>131</v>
      </c>
      <c r="C58" s="2" t="s">
        <v>68</v>
      </c>
      <c r="D58" s="2" t="s">
        <v>132</v>
      </c>
      <c r="E58" s="2" t="s">
        <v>9</v>
      </c>
      <c r="F58" s="2" t="s">
        <v>133</v>
      </c>
    </row>
    <row r="59" customFormat="false" ht="15" hidden="false" customHeight="false" outlineLevel="0" collapsed="false">
      <c r="A59" s="2" t="n">
        <v>58</v>
      </c>
      <c r="B59" s="2" t="s">
        <v>134</v>
      </c>
      <c r="C59" s="2" t="s">
        <v>68</v>
      </c>
      <c r="D59" s="2" t="s">
        <v>135</v>
      </c>
      <c r="E59" s="2" t="s">
        <v>9</v>
      </c>
      <c r="F59" s="2" t="s">
        <v>127</v>
      </c>
    </row>
    <row r="60" customFormat="false" ht="15" hidden="false" customHeight="false" outlineLevel="0" collapsed="false">
      <c r="A60" s="2" t="n">
        <v>59</v>
      </c>
      <c r="B60" s="2" t="s">
        <v>136</v>
      </c>
      <c r="C60" s="2" t="s">
        <v>68</v>
      </c>
      <c r="D60" s="2" t="s">
        <v>137</v>
      </c>
      <c r="E60" s="2" t="s">
        <v>9</v>
      </c>
      <c r="F60" s="2" t="s">
        <v>138</v>
      </c>
    </row>
    <row r="61" customFormat="false" ht="15" hidden="false" customHeight="false" outlineLevel="0" collapsed="false">
      <c r="A61" s="2" t="n">
        <v>60</v>
      </c>
      <c r="B61" s="2" t="s">
        <v>139</v>
      </c>
      <c r="C61" s="2" t="s">
        <v>68</v>
      </c>
      <c r="D61" s="2" t="s">
        <v>140</v>
      </c>
      <c r="E61" s="2" t="s">
        <v>9</v>
      </c>
      <c r="F61" s="2" t="s">
        <v>141</v>
      </c>
    </row>
    <row r="62" customFormat="false" ht="15" hidden="false" customHeight="false" outlineLevel="0" collapsed="false">
      <c r="A62" s="2" t="n">
        <v>61</v>
      </c>
      <c r="B62" s="2" t="s">
        <v>142</v>
      </c>
      <c r="C62" s="2" t="s">
        <v>68</v>
      </c>
      <c r="D62" s="2" t="s">
        <v>143</v>
      </c>
      <c r="E62" s="2" t="s">
        <v>9</v>
      </c>
      <c r="F62" s="2" t="s">
        <v>144</v>
      </c>
    </row>
    <row r="63" customFormat="false" ht="15" hidden="false" customHeight="false" outlineLevel="0" collapsed="false">
      <c r="A63" s="2" t="n">
        <v>62</v>
      </c>
      <c r="B63" s="2" t="s">
        <v>145</v>
      </c>
      <c r="C63" s="2" t="s">
        <v>68</v>
      </c>
      <c r="D63" s="2" t="s">
        <v>146</v>
      </c>
      <c r="E63" s="2" t="s">
        <v>9</v>
      </c>
      <c r="F63" s="2" t="s">
        <v>147</v>
      </c>
    </row>
    <row r="64" customFormat="false" ht="15" hidden="false" customHeight="false" outlineLevel="0" collapsed="false">
      <c r="A64" s="2" t="n">
        <v>63</v>
      </c>
      <c r="B64" s="2" t="s">
        <v>148</v>
      </c>
      <c r="C64" s="2" t="s">
        <v>68</v>
      </c>
      <c r="D64" s="2" t="s">
        <v>149</v>
      </c>
      <c r="E64" s="2" t="s">
        <v>9</v>
      </c>
      <c r="F64" s="2" t="s">
        <v>148</v>
      </c>
    </row>
    <row r="65" customFormat="false" ht="15" hidden="false" customHeight="false" outlineLevel="0" collapsed="false">
      <c r="A65" s="2" t="n">
        <v>64</v>
      </c>
      <c r="B65" s="2" t="s">
        <v>6</v>
      </c>
      <c r="C65" s="2" t="s">
        <v>7</v>
      </c>
      <c r="D65" s="2" t="s">
        <v>150</v>
      </c>
      <c r="E65" s="2" t="s">
        <v>151</v>
      </c>
      <c r="F65" s="2" t="s">
        <v>6</v>
      </c>
    </row>
    <row r="66" customFormat="false" ht="15" hidden="false" customHeight="false" outlineLevel="0" collapsed="false">
      <c r="A66" s="2" t="n">
        <v>65</v>
      </c>
      <c r="B66" s="2" t="s">
        <v>12</v>
      </c>
      <c r="C66" s="2" t="s">
        <v>7</v>
      </c>
      <c r="D66" s="2" t="s">
        <v>152</v>
      </c>
      <c r="E66" s="2" t="s">
        <v>151</v>
      </c>
      <c r="F66" s="2" t="s">
        <v>12</v>
      </c>
    </row>
    <row r="67" customFormat="false" ht="15" hidden="false" customHeight="false" outlineLevel="0" collapsed="false">
      <c r="A67" s="2" t="n">
        <v>66</v>
      </c>
      <c r="B67" s="2" t="s">
        <v>153</v>
      </c>
      <c r="C67" s="2" t="s">
        <v>7</v>
      </c>
      <c r="D67" s="2" t="s">
        <v>154</v>
      </c>
      <c r="E67" s="2" t="s">
        <v>151</v>
      </c>
      <c r="F67" s="2" t="s">
        <v>155</v>
      </c>
    </row>
    <row r="68" customFormat="false" ht="15" hidden="false" customHeight="false" outlineLevel="0" collapsed="false">
      <c r="A68" s="2" t="n">
        <v>67</v>
      </c>
      <c r="B68" s="2" t="s">
        <v>156</v>
      </c>
      <c r="C68" s="2" t="s">
        <v>7</v>
      </c>
      <c r="D68" s="2" t="s">
        <v>157</v>
      </c>
      <c r="E68" s="2" t="s">
        <v>151</v>
      </c>
      <c r="F68" s="2" t="s">
        <v>158</v>
      </c>
    </row>
    <row r="69" customFormat="false" ht="15" hidden="false" customHeight="false" outlineLevel="0" collapsed="false">
      <c r="A69" s="2" t="n">
        <v>68</v>
      </c>
      <c r="B69" s="2" t="s">
        <v>159</v>
      </c>
      <c r="C69" s="2" t="s">
        <v>7</v>
      </c>
      <c r="D69" s="2" t="s">
        <v>157</v>
      </c>
      <c r="E69" s="2" t="s">
        <v>151</v>
      </c>
      <c r="F69" s="2" t="s">
        <v>160</v>
      </c>
    </row>
    <row r="70" customFormat="false" ht="15" hidden="false" customHeight="false" outlineLevel="0" collapsed="false">
      <c r="A70" s="2" t="n">
        <v>69</v>
      </c>
      <c r="B70" s="2" t="s">
        <v>16</v>
      </c>
      <c r="C70" s="2" t="s">
        <v>7</v>
      </c>
      <c r="D70" s="2" t="s">
        <v>161</v>
      </c>
      <c r="E70" s="2" t="s">
        <v>151</v>
      </c>
      <c r="F70" s="2" t="s">
        <v>16</v>
      </c>
    </row>
    <row r="71" customFormat="false" ht="15" hidden="false" customHeight="false" outlineLevel="0" collapsed="false">
      <c r="A71" s="2" t="n">
        <v>70</v>
      </c>
      <c r="B71" s="2" t="s">
        <v>14</v>
      </c>
      <c r="C71" s="2" t="s">
        <v>7</v>
      </c>
      <c r="D71" s="2" t="s">
        <v>162</v>
      </c>
      <c r="E71" s="2" t="s">
        <v>151</v>
      </c>
      <c r="F71" s="2" t="s">
        <v>14</v>
      </c>
    </row>
    <row r="72" customFormat="false" ht="15" hidden="false" customHeight="false" outlineLevel="0" collapsed="false">
      <c r="A72" s="2" t="n">
        <v>71</v>
      </c>
      <c r="B72" s="2" t="s">
        <v>18</v>
      </c>
      <c r="C72" s="2" t="s">
        <v>7</v>
      </c>
      <c r="D72" s="2" t="s">
        <v>163</v>
      </c>
      <c r="E72" s="2" t="s">
        <v>151</v>
      </c>
      <c r="F72" s="2" t="s">
        <v>18</v>
      </c>
    </row>
    <row r="73" customFormat="false" ht="15" hidden="false" customHeight="false" outlineLevel="0" collapsed="false">
      <c r="A73" s="2" t="n">
        <v>72</v>
      </c>
      <c r="B73" s="2" t="s">
        <v>20</v>
      </c>
      <c r="C73" s="2" t="s">
        <v>7</v>
      </c>
      <c r="D73" s="2" t="s">
        <v>164</v>
      </c>
      <c r="E73" s="2" t="s">
        <v>151</v>
      </c>
      <c r="F73" s="2" t="s">
        <v>20</v>
      </c>
    </row>
    <row r="74" customFormat="false" ht="15" hidden="false" customHeight="false" outlineLevel="0" collapsed="false">
      <c r="A74" s="2" t="n">
        <v>73</v>
      </c>
      <c r="B74" s="2" t="s">
        <v>24</v>
      </c>
      <c r="C74" s="2" t="s">
        <v>7</v>
      </c>
      <c r="D74" s="2" t="s">
        <v>165</v>
      </c>
      <c r="E74" s="2" t="s">
        <v>151</v>
      </c>
      <c r="F74" s="2" t="s">
        <v>24</v>
      </c>
    </row>
    <row r="75" customFormat="false" ht="15" hidden="false" customHeight="false" outlineLevel="0" collapsed="false">
      <c r="A75" s="2" t="n">
        <v>74</v>
      </c>
      <c r="B75" s="2" t="s">
        <v>26</v>
      </c>
      <c r="C75" s="2" t="s">
        <v>7</v>
      </c>
      <c r="D75" s="2" t="s">
        <v>166</v>
      </c>
      <c r="E75" s="2" t="s">
        <v>151</v>
      </c>
      <c r="F75" s="2" t="s">
        <v>26</v>
      </c>
    </row>
    <row r="76" customFormat="false" ht="15" hidden="false" customHeight="false" outlineLevel="0" collapsed="false">
      <c r="A76" s="2" t="n">
        <v>75</v>
      </c>
      <c r="B76" s="2" t="s">
        <v>22</v>
      </c>
      <c r="C76" s="2" t="s">
        <v>7</v>
      </c>
      <c r="D76" s="2" t="s">
        <v>167</v>
      </c>
      <c r="E76" s="2" t="s">
        <v>151</v>
      </c>
      <c r="F76" s="2" t="s">
        <v>22</v>
      </c>
    </row>
    <row r="77" customFormat="false" ht="15" hidden="false" customHeight="false" outlineLevel="0" collapsed="false">
      <c r="A77" s="2" t="n">
        <v>76</v>
      </c>
      <c r="B77" s="2" t="s">
        <v>27</v>
      </c>
      <c r="C77" s="2" t="s">
        <v>7</v>
      </c>
      <c r="D77" s="2" t="s">
        <v>168</v>
      </c>
      <c r="E77" s="2" t="s">
        <v>151</v>
      </c>
      <c r="F77" s="2" t="s">
        <v>27</v>
      </c>
    </row>
    <row r="78" customFormat="false" ht="15" hidden="false" customHeight="false" outlineLevel="0" collapsed="false">
      <c r="A78" s="2" t="n">
        <v>77</v>
      </c>
      <c r="B78" s="2" t="s">
        <v>53</v>
      </c>
      <c r="C78" s="2" t="s">
        <v>7</v>
      </c>
      <c r="D78" s="2" t="s">
        <v>169</v>
      </c>
      <c r="E78" s="2" t="s">
        <v>151</v>
      </c>
      <c r="F78" s="2" t="s">
        <v>53</v>
      </c>
    </row>
    <row r="79" customFormat="false" ht="15" hidden="false" customHeight="false" outlineLevel="0" collapsed="false">
      <c r="A79" s="2" t="n">
        <v>78</v>
      </c>
      <c r="B79" s="2" t="s">
        <v>40</v>
      </c>
      <c r="C79" s="2" t="s">
        <v>7</v>
      </c>
      <c r="D79" s="2" t="s">
        <v>170</v>
      </c>
      <c r="E79" s="2" t="s">
        <v>151</v>
      </c>
      <c r="F79" s="2" t="s">
        <v>40</v>
      </c>
    </row>
    <row r="80" customFormat="false" ht="15" hidden="false" customHeight="false" outlineLevel="0" collapsed="false">
      <c r="A80" s="2" t="n">
        <v>79</v>
      </c>
      <c r="B80" s="2" t="s">
        <v>36</v>
      </c>
      <c r="C80" s="2" t="s">
        <v>7</v>
      </c>
      <c r="D80" s="2" t="s">
        <v>171</v>
      </c>
      <c r="E80" s="2" t="s">
        <v>151</v>
      </c>
      <c r="F80" s="2" t="s">
        <v>36</v>
      </c>
    </row>
    <row r="81" customFormat="false" ht="15" hidden="false" customHeight="false" outlineLevel="0" collapsed="false">
      <c r="A81" s="2" t="n">
        <v>80</v>
      </c>
      <c r="B81" s="2" t="s">
        <v>172</v>
      </c>
      <c r="C81" s="2" t="s">
        <v>7</v>
      </c>
      <c r="D81" s="2" t="s">
        <v>173</v>
      </c>
      <c r="E81" s="2" t="s">
        <v>151</v>
      </c>
      <c r="F81" s="2" t="s">
        <v>172</v>
      </c>
    </row>
    <row r="82" customFormat="false" ht="15" hidden="false" customHeight="false" outlineLevel="0" collapsed="false">
      <c r="A82" s="2" t="n">
        <v>81</v>
      </c>
      <c r="B82" s="2" t="s">
        <v>174</v>
      </c>
      <c r="C82" s="2" t="s">
        <v>7</v>
      </c>
      <c r="D82" s="2" t="s">
        <v>175</v>
      </c>
      <c r="E82" s="2" t="s">
        <v>151</v>
      </c>
      <c r="F82" s="2" t="s">
        <v>174</v>
      </c>
    </row>
    <row r="83" customFormat="false" ht="15" hidden="false" customHeight="false" outlineLevel="0" collapsed="false">
      <c r="A83" s="2" t="n">
        <v>82</v>
      </c>
      <c r="B83" s="2" t="s">
        <v>176</v>
      </c>
      <c r="C83" s="2" t="s">
        <v>7</v>
      </c>
      <c r="D83" s="2" t="s">
        <v>175</v>
      </c>
      <c r="E83" s="2" t="s">
        <v>151</v>
      </c>
      <c r="F83" s="2" t="s">
        <v>176</v>
      </c>
    </row>
    <row r="84" customFormat="false" ht="15" hidden="false" customHeight="false" outlineLevel="0" collapsed="false">
      <c r="A84" s="2" t="n">
        <v>83</v>
      </c>
      <c r="B84" s="2" t="s">
        <v>177</v>
      </c>
      <c r="C84" s="2" t="s">
        <v>7</v>
      </c>
      <c r="D84" s="2" t="s">
        <v>175</v>
      </c>
      <c r="E84" s="2" t="s">
        <v>151</v>
      </c>
      <c r="F84" s="2" t="s">
        <v>177</v>
      </c>
    </row>
    <row r="85" customFormat="false" ht="15" hidden="false" customHeight="false" outlineLevel="0" collapsed="false">
      <c r="A85" s="2" t="n">
        <v>84</v>
      </c>
      <c r="B85" s="2" t="s">
        <v>178</v>
      </c>
      <c r="C85" s="2" t="s">
        <v>7</v>
      </c>
      <c r="D85" s="2" t="s">
        <v>179</v>
      </c>
      <c r="E85" s="2" t="s">
        <v>151</v>
      </c>
      <c r="F85" s="2" t="s">
        <v>178</v>
      </c>
    </row>
    <row r="86" customFormat="false" ht="15" hidden="false" customHeight="false" outlineLevel="0" collapsed="false">
      <c r="A86" s="2" t="n">
        <v>85</v>
      </c>
      <c r="B86" s="2" t="s">
        <v>180</v>
      </c>
      <c r="C86" s="2" t="s">
        <v>7</v>
      </c>
      <c r="D86" s="2" t="s">
        <v>179</v>
      </c>
      <c r="E86" s="2" t="s">
        <v>151</v>
      </c>
      <c r="F86" s="2" t="s">
        <v>180</v>
      </c>
    </row>
    <row r="87" customFormat="false" ht="15" hidden="false" customHeight="false" outlineLevel="0" collapsed="false">
      <c r="A87" s="2" t="n">
        <v>86</v>
      </c>
      <c r="B87" s="2" t="s">
        <v>181</v>
      </c>
      <c r="C87" s="2" t="s">
        <v>7</v>
      </c>
      <c r="D87" s="2" t="s">
        <v>182</v>
      </c>
      <c r="E87" s="2" t="s">
        <v>151</v>
      </c>
      <c r="F87" s="2" t="s">
        <v>181</v>
      </c>
    </row>
    <row r="88" customFormat="false" ht="15" hidden="false" customHeight="false" outlineLevel="0" collapsed="false">
      <c r="A88" s="2" t="n">
        <v>87</v>
      </c>
      <c r="B88" s="2" t="s">
        <v>183</v>
      </c>
      <c r="C88" s="2" t="s">
        <v>7</v>
      </c>
      <c r="D88" s="2" t="s">
        <v>182</v>
      </c>
      <c r="E88" s="2" t="s">
        <v>151</v>
      </c>
      <c r="F88" s="2" t="s">
        <v>183</v>
      </c>
    </row>
    <row r="89" customFormat="false" ht="15" hidden="false" customHeight="false" outlineLevel="0" collapsed="false">
      <c r="A89" s="2" t="n">
        <v>88</v>
      </c>
      <c r="B89" s="2" t="s">
        <v>184</v>
      </c>
      <c r="C89" s="2" t="s">
        <v>7</v>
      </c>
      <c r="D89" s="2" t="s">
        <v>185</v>
      </c>
      <c r="E89" s="2" t="s">
        <v>151</v>
      </c>
      <c r="F89" s="2" t="s">
        <v>184</v>
      </c>
    </row>
    <row r="90" customFormat="false" ht="15" hidden="false" customHeight="false" outlineLevel="0" collapsed="false">
      <c r="A90" s="2" t="n">
        <v>89</v>
      </c>
      <c r="B90" s="2" t="s">
        <v>186</v>
      </c>
      <c r="C90" s="2" t="s">
        <v>7</v>
      </c>
      <c r="D90" s="2" t="s">
        <v>185</v>
      </c>
      <c r="E90" s="2" t="s">
        <v>151</v>
      </c>
      <c r="F90" s="2" t="s">
        <v>186</v>
      </c>
    </row>
    <row r="91" customFormat="false" ht="15" hidden="false" customHeight="false" outlineLevel="0" collapsed="false">
      <c r="A91" s="2" t="n">
        <v>90</v>
      </c>
      <c r="B91" s="2" t="s">
        <v>187</v>
      </c>
      <c r="C91" s="2" t="s">
        <v>7</v>
      </c>
      <c r="D91" s="2" t="s">
        <v>188</v>
      </c>
      <c r="E91" s="2" t="s">
        <v>151</v>
      </c>
      <c r="F91" s="2" t="s">
        <v>187</v>
      </c>
    </row>
    <row r="92" customFormat="false" ht="15" hidden="false" customHeight="false" outlineLevel="0" collapsed="false">
      <c r="A92" s="2" t="n">
        <v>91</v>
      </c>
      <c r="B92" s="2" t="s">
        <v>189</v>
      </c>
      <c r="C92" s="2" t="s">
        <v>7</v>
      </c>
      <c r="D92" s="2" t="s">
        <v>190</v>
      </c>
      <c r="E92" s="2" t="s">
        <v>151</v>
      </c>
      <c r="F92" s="2" t="s">
        <v>191</v>
      </c>
    </row>
    <row r="93" customFormat="false" ht="15" hidden="false" customHeight="false" outlineLevel="0" collapsed="false">
      <c r="A93" s="2" t="n">
        <v>92</v>
      </c>
      <c r="B93" s="2" t="s">
        <v>192</v>
      </c>
      <c r="C93" s="2" t="s">
        <v>7</v>
      </c>
      <c r="D93" s="2" t="s">
        <v>193</v>
      </c>
      <c r="E93" s="2" t="s">
        <v>151</v>
      </c>
      <c r="F93" s="2" t="s">
        <v>194</v>
      </c>
    </row>
    <row r="94" customFormat="false" ht="15" hidden="false" customHeight="false" outlineLevel="0" collapsed="false">
      <c r="A94" s="2" t="n">
        <v>93</v>
      </c>
      <c r="B94" s="2" t="s">
        <v>195</v>
      </c>
      <c r="C94" s="2" t="s">
        <v>7</v>
      </c>
      <c r="D94" s="2" t="s">
        <v>196</v>
      </c>
      <c r="E94" s="2" t="s">
        <v>151</v>
      </c>
      <c r="F94" s="2" t="s">
        <v>195</v>
      </c>
    </row>
    <row r="95" customFormat="false" ht="15" hidden="false" customHeight="false" outlineLevel="0" collapsed="false">
      <c r="A95" s="2" t="n">
        <v>94</v>
      </c>
      <c r="B95" s="2" t="s">
        <v>82</v>
      </c>
      <c r="C95" s="2" t="s">
        <v>68</v>
      </c>
      <c r="D95" s="2" t="s">
        <v>197</v>
      </c>
      <c r="E95" s="2" t="s">
        <v>151</v>
      </c>
      <c r="F95" s="2" t="s">
        <v>82</v>
      </c>
    </row>
    <row r="96" customFormat="false" ht="15" hidden="false" customHeight="false" outlineLevel="0" collapsed="false">
      <c r="A96" s="2" t="n">
        <v>95</v>
      </c>
      <c r="B96" s="2" t="s">
        <v>198</v>
      </c>
      <c r="C96" s="2" t="s">
        <v>68</v>
      </c>
      <c r="D96" s="2" t="s">
        <v>199</v>
      </c>
      <c r="E96" s="2" t="s">
        <v>151</v>
      </c>
      <c r="F96" s="2" t="s">
        <v>200</v>
      </c>
    </row>
    <row r="97" customFormat="false" ht="15" hidden="false" customHeight="false" outlineLevel="0" collapsed="false">
      <c r="A97" s="2" t="n">
        <v>96</v>
      </c>
      <c r="B97" s="2" t="s">
        <v>201</v>
      </c>
      <c r="C97" s="2" t="s">
        <v>68</v>
      </c>
      <c r="D97" s="2" t="s">
        <v>202</v>
      </c>
      <c r="E97" s="2" t="s">
        <v>151</v>
      </c>
      <c r="F97" s="2" t="s">
        <v>203</v>
      </c>
    </row>
    <row r="98" customFormat="false" ht="15" hidden="false" customHeight="false" outlineLevel="0" collapsed="false">
      <c r="A98" s="2" t="n">
        <v>97</v>
      </c>
      <c r="B98" s="2" t="s">
        <v>204</v>
      </c>
      <c r="C98" s="2" t="s">
        <v>68</v>
      </c>
      <c r="D98" s="2" t="s">
        <v>205</v>
      </c>
      <c r="E98" s="2" t="s">
        <v>151</v>
      </c>
      <c r="F98" s="2" t="s">
        <v>100</v>
      </c>
    </row>
    <row r="99" customFormat="false" ht="15" hidden="false" customHeight="false" outlineLevel="0" collapsed="false">
      <c r="A99" s="2" t="n">
        <v>98</v>
      </c>
      <c r="B99" s="2" t="s">
        <v>206</v>
      </c>
      <c r="C99" s="2" t="s">
        <v>68</v>
      </c>
      <c r="D99" s="2" t="s">
        <v>207</v>
      </c>
      <c r="E99" s="2" t="s">
        <v>151</v>
      </c>
      <c r="F99" s="2" t="s">
        <v>208</v>
      </c>
    </row>
    <row r="100" customFormat="false" ht="15" hidden="false" customHeight="false" outlineLevel="0" collapsed="false">
      <c r="A100" s="2" t="n">
        <v>99</v>
      </c>
      <c r="B100" s="2" t="s">
        <v>209</v>
      </c>
      <c r="C100" s="2" t="s">
        <v>68</v>
      </c>
      <c r="D100" s="2" t="s">
        <v>210</v>
      </c>
      <c r="E100" s="2" t="s">
        <v>151</v>
      </c>
      <c r="F100" s="2" t="s">
        <v>208</v>
      </c>
    </row>
    <row r="101" customFormat="false" ht="15" hidden="false" customHeight="false" outlineLevel="0" collapsed="false">
      <c r="A101" s="2" t="n">
        <v>100</v>
      </c>
      <c r="B101" s="2" t="s">
        <v>211</v>
      </c>
      <c r="C101" s="2" t="s">
        <v>68</v>
      </c>
      <c r="D101" s="2" t="s">
        <v>212</v>
      </c>
      <c r="E101" s="2" t="s">
        <v>151</v>
      </c>
      <c r="F101" s="2" t="s">
        <v>90</v>
      </c>
    </row>
    <row r="102" customFormat="false" ht="15" hidden="false" customHeight="false" outlineLevel="0" collapsed="false">
      <c r="A102" s="2" t="n">
        <v>101</v>
      </c>
      <c r="B102" s="2" t="s">
        <v>86</v>
      </c>
      <c r="C102" s="2" t="s">
        <v>68</v>
      </c>
      <c r="D102" s="2" t="s">
        <v>213</v>
      </c>
      <c r="E102" s="2" t="s">
        <v>151</v>
      </c>
      <c r="F102" s="2" t="s">
        <v>86</v>
      </c>
    </row>
    <row r="103" customFormat="false" ht="15" hidden="false" customHeight="false" outlineLevel="0" collapsed="false">
      <c r="A103" s="2" t="n">
        <v>102</v>
      </c>
      <c r="B103" s="2" t="s">
        <v>214</v>
      </c>
      <c r="C103" s="2" t="s">
        <v>68</v>
      </c>
      <c r="D103" s="2" t="s">
        <v>215</v>
      </c>
      <c r="E103" s="2" t="s">
        <v>151</v>
      </c>
      <c r="F103" s="2" t="s">
        <v>85</v>
      </c>
    </row>
    <row r="104" customFormat="false" ht="15" hidden="false" customHeight="false" outlineLevel="0" collapsed="false">
      <c r="A104" s="2" t="n">
        <v>103</v>
      </c>
      <c r="B104" s="2" t="s">
        <v>216</v>
      </c>
      <c r="C104" s="2" t="s">
        <v>68</v>
      </c>
      <c r="D104" s="2" t="s">
        <v>217</v>
      </c>
      <c r="E104" s="2" t="s">
        <v>151</v>
      </c>
      <c r="F104" s="2" t="s">
        <v>218</v>
      </c>
    </row>
    <row r="105" customFormat="false" ht="15" hidden="false" customHeight="false" outlineLevel="0" collapsed="false">
      <c r="A105" s="2" t="n">
        <v>104</v>
      </c>
      <c r="B105" s="2" t="s">
        <v>219</v>
      </c>
      <c r="C105" s="2" t="s">
        <v>68</v>
      </c>
      <c r="D105" s="2" t="s">
        <v>220</v>
      </c>
      <c r="E105" s="2" t="s">
        <v>151</v>
      </c>
      <c r="F105" s="2" t="s">
        <v>221</v>
      </c>
    </row>
    <row r="106" customFormat="false" ht="15" hidden="false" customHeight="false" outlineLevel="0" collapsed="false">
      <c r="A106" s="2" t="n">
        <v>105</v>
      </c>
      <c r="B106" s="2" t="s">
        <v>222</v>
      </c>
      <c r="C106" s="2" t="s">
        <v>68</v>
      </c>
      <c r="D106" s="2" t="s">
        <v>223</v>
      </c>
      <c r="E106" s="2" t="s">
        <v>151</v>
      </c>
      <c r="F106" s="2" t="s">
        <v>224</v>
      </c>
    </row>
    <row r="107" customFormat="false" ht="15" hidden="false" customHeight="false" outlineLevel="0" collapsed="false">
      <c r="A107" s="2" t="n">
        <v>106</v>
      </c>
      <c r="B107" s="2" t="s">
        <v>225</v>
      </c>
      <c r="C107" s="2" t="s">
        <v>68</v>
      </c>
      <c r="D107" s="2" t="s">
        <v>226</v>
      </c>
      <c r="E107" s="2" t="s">
        <v>151</v>
      </c>
      <c r="F107" s="2" t="s">
        <v>133</v>
      </c>
    </row>
    <row r="108" customFormat="false" ht="15" hidden="false" customHeight="false" outlineLevel="0" collapsed="false">
      <c r="A108" s="2" t="n">
        <v>107</v>
      </c>
      <c r="B108" s="2" t="s">
        <v>227</v>
      </c>
      <c r="C108" s="2" t="s">
        <v>68</v>
      </c>
      <c r="D108" s="2" t="s">
        <v>228</v>
      </c>
      <c r="E108" s="2" t="s">
        <v>151</v>
      </c>
      <c r="F108" s="2" t="s">
        <v>229</v>
      </c>
    </row>
    <row r="109" customFormat="false" ht="15" hidden="false" customHeight="false" outlineLevel="0" collapsed="false">
      <c r="A109" s="2" t="n">
        <v>108</v>
      </c>
      <c r="B109" s="2" t="s">
        <v>230</v>
      </c>
      <c r="C109" s="2" t="s">
        <v>68</v>
      </c>
      <c r="D109" s="2" t="s">
        <v>231</v>
      </c>
      <c r="E109" s="2" t="s">
        <v>151</v>
      </c>
      <c r="F109" s="2" t="s">
        <v>232</v>
      </c>
    </row>
    <row r="110" customFormat="false" ht="15" hidden="false" customHeight="false" outlineLevel="0" collapsed="false">
      <c r="A110" s="2" t="n">
        <v>109</v>
      </c>
      <c r="B110" s="2" t="s">
        <v>233</v>
      </c>
      <c r="C110" s="2" t="s">
        <v>68</v>
      </c>
      <c r="D110" s="2" t="s">
        <v>234</v>
      </c>
      <c r="E110" s="2" t="s">
        <v>151</v>
      </c>
      <c r="F110" s="2" t="s">
        <v>235</v>
      </c>
    </row>
    <row r="111" customFormat="false" ht="15" hidden="false" customHeight="false" outlineLevel="0" collapsed="false">
      <c r="A111" s="2" t="n">
        <v>110</v>
      </c>
      <c r="B111" s="2" t="s">
        <v>182</v>
      </c>
      <c r="C111" s="2" t="s">
        <v>68</v>
      </c>
      <c r="D111" s="2" t="s">
        <v>236</v>
      </c>
      <c r="E111" s="2" t="s">
        <v>151</v>
      </c>
      <c r="F111" s="2" t="s">
        <v>182</v>
      </c>
    </row>
    <row r="112" customFormat="false" ht="15" hidden="false" customHeight="false" outlineLevel="0" collapsed="false">
      <c r="A112" s="2" t="n">
        <v>111</v>
      </c>
      <c r="B112" s="2" t="s">
        <v>185</v>
      </c>
      <c r="C112" s="2" t="s">
        <v>68</v>
      </c>
      <c r="D112" s="2" t="s">
        <v>237</v>
      </c>
      <c r="E112" s="2" t="s">
        <v>151</v>
      </c>
      <c r="F112" s="2" t="s">
        <v>238</v>
      </c>
    </row>
    <row r="113" customFormat="false" ht="15" hidden="false" customHeight="false" outlineLevel="0" collapsed="false">
      <c r="A113" s="2" t="n">
        <v>112</v>
      </c>
      <c r="B113" s="2" t="s">
        <v>101</v>
      </c>
      <c r="C113" s="2" t="s">
        <v>68</v>
      </c>
      <c r="D113" s="2" t="s">
        <v>239</v>
      </c>
      <c r="E113" s="2" t="s">
        <v>151</v>
      </c>
      <c r="F113" s="2" t="s">
        <v>101</v>
      </c>
    </row>
    <row r="114" customFormat="false" ht="15" hidden="false" customHeight="false" outlineLevel="0" collapsed="false">
      <c r="A114" s="2" t="n">
        <v>113</v>
      </c>
      <c r="B114" s="2" t="s">
        <v>240</v>
      </c>
      <c r="C114" s="2" t="s">
        <v>68</v>
      </c>
      <c r="D114" s="2" t="s">
        <v>241</v>
      </c>
      <c r="E114" s="2" t="s">
        <v>151</v>
      </c>
      <c r="F114" s="2" t="s">
        <v>242</v>
      </c>
    </row>
    <row r="115" customFormat="false" ht="15" hidden="false" customHeight="false" outlineLevel="0" collapsed="false">
      <c r="A115" s="2" t="n">
        <v>114</v>
      </c>
      <c r="B115" s="2" t="s">
        <v>243</v>
      </c>
      <c r="C115" s="2" t="s">
        <v>68</v>
      </c>
      <c r="D115" s="2" t="s">
        <v>244</v>
      </c>
      <c r="E115" s="2" t="s">
        <v>151</v>
      </c>
      <c r="F115" s="2" t="s">
        <v>245</v>
      </c>
    </row>
    <row r="116" customFormat="false" ht="15" hidden="false" customHeight="false" outlineLevel="0" collapsed="false">
      <c r="A116" s="2" t="n">
        <v>115</v>
      </c>
      <c r="B116" s="2" t="s">
        <v>246</v>
      </c>
      <c r="C116" s="2" t="s">
        <v>68</v>
      </c>
      <c r="D116" s="2" t="s">
        <v>244</v>
      </c>
      <c r="E116" s="2" t="s">
        <v>151</v>
      </c>
      <c r="F116" s="2" t="s">
        <v>245</v>
      </c>
    </row>
    <row r="117" customFormat="false" ht="15" hidden="false" customHeight="false" outlineLevel="0" collapsed="false">
      <c r="A117" s="2" t="n">
        <v>116</v>
      </c>
      <c r="B117" s="2" t="s">
        <v>247</v>
      </c>
      <c r="C117" s="2" t="s">
        <v>68</v>
      </c>
      <c r="D117" s="2" t="s">
        <v>248</v>
      </c>
      <c r="E117" s="2" t="s">
        <v>151</v>
      </c>
      <c r="F117" s="2" t="s">
        <v>107</v>
      </c>
    </row>
    <row r="118" customFormat="false" ht="15" hidden="false" customHeight="false" outlineLevel="0" collapsed="false">
      <c r="A118" s="2" t="n">
        <v>117</v>
      </c>
      <c r="B118" s="2" t="s">
        <v>249</v>
      </c>
      <c r="C118" s="2" t="s">
        <v>68</v>
      </c>
      <c r="D118" s="2" t="s">
        <v>250</v>
      </c>
      <c r="E118" s="2" t="s">
        <v>151</v>
      </c>
      <c r="F118" s="2" t="s">
        <v>113</v>
      </c>
    </row>
    <row r="119" customFormat="false" ht="15" hidden="false" customHeight="false" outlineLevel="0" collapsed="false">
      <c r="A119" s="2" t="n">
        <v>118</v>
      </c>
      <c r="B119" s="2" t="s">
        <v>251</v>
      </c>
      <c r="C119" s="2" t="s">
        <v>68</v>
      </c>
      <c r="D119" s="2" t="s">
        <v>252</v>
      </c>
      <c r="E119" s="2" t="s">
        <v>151</v>
      </c>
      <c r="F119" s="2" t="s">
        <v>251</v>
      </c>
    </row>
    <row r="120" customFormat="false" ht="15" hidden="false" customHeight="false" outlineLevel="0" collapsed="false">
      <c r="A120" s="2" t="n">
        <v>119</v>
      </c>
      <c r="B120" s="2" t="s">
        <v>6</v>
      </c>
      <c r="C120" s="2" t="s">
        <v>7</v>
      </c>
      <c r="D120" s="2" t="s">
        <v>253</v>
      </c>
      <c r="E120" s="2" t="s">
        <v>254</v>
      </c>
      <c r="F120" s="2" t="s">
        <v>6</v>
      </c>
    </row>
    <row r="121" customFormat="false" ht="15" hidden="false" customHeight="false" outlineLevel="0" collapsed="false">
      <c r="A121" s="2" t="n">
        <v>120</v>
      </c>
      <c r="B121" s="2" t="s">
        <v>10</v>
      </c>
      <c r="C121" s="2" t="s">
        <v>7</v>
      </c>
      <c r="D121" s="2" t="s">
        <v>255</v>
      </c>
      <c r="E121" s="2" t="s">
        <v>254</v>
      </c>
      <c r="F121" s="2" t="s">
        <v>10</v>
      </c>
    </row>
    <row r="122" customFormat="false" ht="15" hidden="false" customHeight="false" outlineLevel="0" collapsed="false">
      <c r="A122" s="2" t="n">
        <v>121</v>
      </c>
      <c r="B122" s="2" t="s">
        <v>12</v>
      </c>
      <c r="C122" s="2" t="s">
        <v>7</v>
      </c>
      <c r="D122" s="2" t="s">
        <v>256</v>
      </c>
      <c r="E122" s="2" t="s">
        <v>254</v>
      </c>
      <c r="F122" s="2" t="s">
        <v>12</v>
      </c>
    </row>
    <row r="123" customFormat="false" ht="15" hidden="false" customHeight="false" outlineLevel="0" collapsed="false">
      <c r="A123" s="2" t="n">
        <v>122</v>
      </c>
      <c r="B123" s="2" t="s">
        <v>20</v>
      </c>
      <c r="C123" s="2" t="s">
        <v>7</v>
      </c>
      <c r="D123" s="2" t="s">
        <v>257</v>
      </c>
      <c r="E123" s="2" t="s">
        <v>254</v>
      </c>
      <c r="F123" s="2" t="s">
        <v>20</v>
      </c>
    </row>
    <row r="124" customFormat="false" ht="15" hidden="false" customHeight="false" outlineLevel="0" collapsed="false">
      <c r="A124" s="2" t="n">
        <v>123</v>
      </c>
      <c r="B124" s="2" t="s">
        <v>18</v>
      </c>
      <c r="C124" s="2" t="s">
        <v>7</v>
      </c>
      <c r="D124" s="2" t="s">
        <v>257</v>
      </c>
      <c r="E124" s="2" t="s">
        <v>254</v>
      </c>
      <c r="F124" s="2" t="s">
        <v>18</v>
      </c>
    </row>
    <row r="125" customFormat="false" ht="15" hidden="false" customHeight="false" outlineLevel="0" collapsed="false">
      <c r="A125" s="2" t="n">
        <v>124</v>
      </c>
      <c r="B125" s="2" t="s">
        <v>24</v>
      </c>
      <c r="C125" s="2" t="s">
        <v>7</v>
      </c>
      <c r="D125" s="2" t="s">
        <v>258</v>
      </c>
      <c r="E125" s="2" t="s">
        <v>254</v>
      </c>
      <c r="F125" s="2" t="s">
        <v>24</v>
      </c>
    </row>
    <row r="126" customFormat="false" ht="15" hidden="false" customHeight="false" outlineLevel="0" collapsed="false">
      <c r="A126" s="2" t="n">
        <v>125</v>
      </c>
      <c r="B126" s="2" t="s">
        <v>22</v>
      </c>
      <c r="C126" s="2" t="s">
        <v>7</v>
      </c>
      <c r="D126" s="2" t="s">
        <v>259</v>
      </c>
      <c r="E126" s="2" t="s">
        <v>254</v>
      </c>
      <c r="F126" s="2" t="s">
        <v>22</v>
      </c>
    </row>
    <row r="127" customFormat="false" ht="15" hidden="false" customHeight="false" outlineLevel="0" collapsed="false">
      <c r="A127" s="2" t="n">
        <v>126</v>
      </c>
      <c r="B127" s="2" t="s">
        <v>26</v>
      </c>
      <c r="C127" s="2" t="s">
        <v>7</v>
      </c>
      <c r="D127" s="2" t="s">
        <v>259</v>
      </c>
      <c r="E127" s="2" t="s">
        <v>254</v>
      </c>
      <c r="F127" s="2" t="s">
        <v>26</v>
      </c>
    </row>
    <row r="128" customFormat="false" ht="15" hidden="false" customHeight="false" outlineLevel="0" collapsed="false">
      <c r="A128" s="2" t="n">
        <v>127</v>
      </c>
      <c r="B128" s="2" t="s">
        <v>27</v>
      </c>
      <c r="C128" s="2" t="s">
        <v>7</v>
      </c>
      <c r="D128" s="2" t="s">
        <v>260</v>
      </c>
      <c r="E128" s="2" t="s">
        <v>254</v>
      </c>
      <c r="F128" s="2" t="s">
        <v>27</v>
      </c>
    </row>
    <row r="129" customFormat="false" ht="15" hidden="false" customHeight="false" outlineLevel="0" collapsed="false">
      <c r="A129" s="2" t="n">
        <v>128</v>
      </c>
      <c r="B129" s="2" t="s">
        <v>16</v>
      </c>
      <c r="C129" s="2" t="s">
        <v>7</v>
      </c>
      <c r="D129" s="2" t="s">
        <v>261</v>
      </c>
      <c r="E129" s="2" t="s">
        <v>254</v>
      </c>
      <c r="F129" s="2" t="s">
        <v>16</v>
      </c>
    </row>
    <row r="130" customFormat="false" ht="15" hidden="false" customHeight="false" outlineLevel="0" collapsed="false">
      <c r="A130" s="2" t="n">
        <v>129</v>
      </c>
      <c r="B130" s="2" t="s">
        <v>262</v>
      </c>
      <c r="C130" s="2" t="s">
        <v>7</v>
      </c>
      <c r="D130" s="2" t="s">
        <v>263</v>
      </c>
      <c r="E130" s="2" t="s">
        <v>254</v>
      </c>
      <c r="F130" s="2" t="s">
        <v>262</v>
      </c>
    </row>
    <row r="131" customFormat="false" ht="15" hidden="false" customHeight="false" outlineLevel="0" collapsed="false">
      <c r="A131" s="2" t="n">
        <v>130</v>
      </c>
      <c r="B131" s="2" t="s">
        <v>55</v>
      </c>
      <c r="C131" s="2" t="s">
        <v>7</v>
      </c>
      <c r="D131" s="2" t="s">
        <v>264</v>
      </c>
      <c r="E131" s="2" t="s">
        <v>254</v>
      </c>
      <c r="F131" s="2" t="s">
        <v>55</v>
      </c>
    </row>
    <row r="132" customFormat="false" ht="15" hidden="false" customHeight="false" outlineLevel="0" collapsed="false">
      <c r="A132" s="2" t="n">
        <v>131</v>
      </c>
      <c r="B132" s="2" t="s">
        <v>57</v>
      </c>
      <c r="C132" s="2" t="s">
        <v>7</v>
      </c>
      <c r="D132" s="2" t="s">
        <v>264</v>
      </c>
      <c r="E132" s="2" t="s">
        <v>254</v>
      </c>
      <c r="F132" s="2" t="s">
        <v>57</v>
      </c>
    </row>
    <row r="133" customFormat="false" ht="15" hidden="false" customHeight="false" outlineLevel="0" collapsed="false">
      <c r="A133" s="2" t="n">
        <v>132</v>
      </c>
      <c r="B133" s="2" t="s">
        <v>58</v>
      </c>
      <c r="C133" s="2" t="s">
        <v>7</v>
      </c>
      <c r="D133" s="2" t="s">
        <v>265</v>
      </c>
      <c r="E133" s="2" t="s">
        <v>254</v>
      </c>
      <c r="F133" s="2" t="s">
        <v>58</v>
      </c>
    </row>
    <row r="134" customFormat="false" ht="15" hidden="false" customHeight="false" outlineLevel="0" collapsed="false">
      <c r="A134" s="2" t="n">
        <v>133</v>
      </c>
      <c r="B134" s="2" t="s">
        <v>60</v>
      </c>
      <c r="C134" s="2" t="s">
        <v>7</v>
      </c>
      <c r="D134" s="2" t="s">
        <v>265</v>
      </c>
      <c r="E134" s="2" t="s">
        <v>254</v>
      </c>
      <c r="F134" s="2" t="s">
        <v>60</v>
      </c>
    </row>
    <row r="135" customFormat="false" ht="15" hidden="false" customHeight="false" outlineLevel="0" collapsed="false">
      <c r="A135" s="2" t="n">
        <v>134</v>
      </c>
      <c r="B135" s="2" t="s">
        <v>61</v>
      </c>
      <c r="C135" s="2" t="s">
        <v>7</v>
      </c>
      <c r="D135" s="2" t="s">
        <v>265</v>
      </c>
      <c r="E135" s="2" t="s">
        <v>254</v>
      </c>
      <c r="F135" s="2" t="s">
        <v>61</v>
      </c>
    </row>
    <row r="136" customFormat="false" ht="15" hidden="false" customHeight="false" outlineLevel="0" collapsed="false">
      <c r="A136" s="2" t="n">
        <v>135</v>
      </c>
      <c r="B136" s="2" t="s">
        <v>62</v>
      </c>
      <c r="C136" s="2" t="s">
        <v>7</v>
      </c>
      <c r="D136" s="2" t="s">
        <v>265</v>
      </c>
      <c r="E136" s="2" t="s">
        <v>254</v>
      </c>
      <c r="F136" s="2" t="s">
        <v>62</v>
      </c>
    </row>
    <row r="137" customFormat="false" ht="15" hidden="false" customHeight="false" outlineLevel="0" collapsed="false">
      <c r="A137" s="2" t="n">
        <v>136</v>
      </c>
      <c r="B137" s="2" t="s">
        <v>266</v>
      </c>
      <c r="C137" s="2" t="s">
        <v>7</v>
      </c>
      <c r="D137" s="2" t="s">
        <v>267</v>
      </c>
      <c r="E137" s="2" t="s">
        <v>254</v>
      </c>
      <c r="F137" s="2" t="s">
        <v>266</v>
      </c>
    </row>
    <row r="138" customFormat="false" ht="15" hidden="false" customHeight="false" outlineLevel="0" collapsed="false">
      <c r="A138" s="2" t="n">
        <v>137</v>
      </c>
      <c r="B138" s="2" t="s">
        <v>36</v>
      </c>
      <c r="C138" s="2" t="s">
        <v>7</v>
      </c>
      <c r="D138" s="2" t="s">
        <v>268</v>
      </c>
      <c r="E138" s="2" t="s">
        <v>254</v>
      </c>
      <c r="F138" s="2" t="s">
        <v>36</v>
      </c>
    </row>
    <row r="139" customFormat="false" ht="15" hidden="false" customHeight="false" outlineLevel="0" collapsed="false">
      <c r="A139" s="2" t="n">
        <v>138</v>
      </c>
      <c r="B139" s="2" t="s">
        <v>29</v>
      </c>
      <c r="C139" s="2" t="s">
        <v>7</v>
      </c>
      <c r="D139" s="2" t="s">
        <v>269</v>
      </c>
      <c r="E139" s="2" t="s">
        <v>254</v>
      </c>
      <c r="F139" s="2" t="s">
        <v>29</v>
      </c>
    </row>
    <row r="140" customFormat="false" ht="15" hidden="false" customHeight="false" outlineLevel="0" collapsed="false">
      <c r="A140" s="2" t="n">
        <v>139</v>
      </c>
      <c r="B140" s="2" t="s">
        <v>31</v>
      </c>
      <c r="C140" s="2" t="s">
        <v>7</v>
      </c>
      <c r="D140" s="2" t="s">
        <v>269</v>
      </c>
      <c r="E140" s="2" t="s">
        <v>254</v>
      </c>
      <c r="F140" s="2" t="s">
        <v>31</v>
      </c>
    </row>
    <row r="141" customFormat="false" ht="15" hidden="false" customHeight="false" outlineLevel="0" collapsed="false">
      <c r="A141" s="2" t="n">
        <v>140</v>
      </c>
      <c r="B141" s="2" t="s">
        <v>53</v>
      </c>
      <c r="C141" s="2" t="s">
        <v>7</v>
      </c>
      <c r="D141" s="2" t="s">
        <v>270</v>
      </c>
      <c r="E141" s="2" t="s">
        <v>254</v>
      </c>
      <c r="F141" s="2" t="s">
        <v>53</v>
      </c>
    </row>
    <row r="142" customFormat="false" ht="15" hidden="false" customHeight="false" outlineLevel="0" collapsed="false">
      <c r="A142" s="2" t="n">
        <v>141</v>
      </c>
      <c r="B142" s="2" t="s">
        <v>271</v>
      </c>
      <c r="C142" s="2" t="s">
        <v>7</v>
      </c>
      <c r="D142" s="2" t="s">
        <v>270</v>
      </c>
      <c r="E142" s="2" t="s">
        <v>254</v>
      </c>
      <c r="F142" s="2" t="s">
        <v>271</v>
      </c>
    </row>
    <row r="143" customFormat="false" ht="15" hidden="false" customHeight="false" outlineLevel="0" collapsed="false">
      <c r="A143" s="2" t="n">
        <v>142</v>
      </c>
      <c r="B143" s="2" t="s">
        <v>40</v>
      </c>
      <c r="C143" s="2" t="s">
        <v>7</v>
      </c>
      <c r="D143" s="2" t="s">
        <v>272</v>
      </c>
      <c r="E143" s="2" t="s">
        <v>254</v>
      </c>
      <c r="F143" s="2" t="s">
        <v>40</v>
      </c>
    </row>
    <row r="144" customFormat="false" ht="15" hidden="false" customHeight="false" outlineLevel="0" collapsed="false">
      <c r="A144" s="2" t="n">
        <v>143</v>
      </c>
      <c r="B144" s="2" t="s">
        <v>273</v>
      </c>
      <c r="C144" s="2" t="s">
        <v>7</v>
      </c>
      <c r="D144" s="2" t="s">
        <v>274</v>
      </c>
      <c r="E144" s="2" t="s">
        <v>254</v>
      </c>
      <c r="F144" s="2" t="s">
        <v>275</v>
      </c>
    </row>
    <row r="145" customFormat="false" ht="15" hidden="false" customHeight="false" outlineLevel="0" collapsed="false">
      <c r="A145" s="2" t="n">
        <v>144</v>
      </c>
      <c r="B145" s="2" t="s">
        <v>276</v>
      </c>
      <c r="C145" s="2" t="s">
        <v>68</v>
      </c>
      <c r="D145" s="2" t="s">
        <v>277</v>
      </c>
      <c r="E145" s="2" t="s">
        <v>254</v>
      </c>
      <c r="F145" s="2" t="s">
        <v>70</v>
      </c>
    </row>
    <row r="146" customFormat="false" ht="15" hidden="false" customHeight="false" outlineLevel="0" collapsed="false">
      <c r="A146" s="2" t="n">
        <v>145</v>
      </c>
      <c r="B146" s="2" t="s">
        <v>82</v>
      </c>
      <c r="C146" s="2" t="s">
        <v>68</v>
      </c>
      <c r="D146" s="2" t="s">
        <v>197</v>
      </c>
      <c r="E146" s="2" t="s">
        <v>254</v>
      </c>
      <c r="F146" s="2" t="s">
        <v>82</v>
      </c>
    </row>
    <row r="147" customFormat="false" ht="15" hidden="false" customHeight="false" outlineLevel="0" collapsed="false">
      <c r="A147" s="2" t="n">
        <v>146</v>
      </c>
      <c r="B147" s="2" t="s">
        <v>278</v>
      </c>
      <c r="C147" s="2" t="s">
        <v>68</v>
      </c>
      <c r="D147" s="2" t="s">
        <v>279</v>
      </c>
      <c r="E147" s="2" t="s">
        <v>254</v>
      </c>
      <c r="F147" s="2" t="s">
        <v>100</v>
      </c>
    </row>
    <row r="148" customFormat="false" ht="15" hidden="false" customHeight="false" outlineLevel="0" collapsed="false">
      <c r="A148" s="2" t="n">
        <v>147</v>
      </c>
      <c r="B148" s="2" t="s">
        <v>280</v>
      </c>
      <c r="C148" s="2" t="s">
        <v>68</v>
      </c>
      <c r="D148" s="2" t="s">
        <v>281</v>
      </c>
      <c r="E148" s="2" t="s">
        <v>254</v>
      </c>
      <c r="F148" s="2" t="s">
        <v>208</v>
      </c>
    </row>
    <row r="149" customFormat="false" ht="15" hidden="false" customHeight="false" outlineLevel="0" collapsed="false">
      <c r="A149" s="2" t="n">
        <v>148</v>
      </c>
      <c r="B149" s="2" t="s">
        <v>282</v>
      </c>
      <c r="C149" s="2" t="s">
        <v>68</v>
      </c>
      <c r="D149" s="2" t="s">
        <v>283</v>
      </c>
      <c r="E149" s="2" t="s">
        <v>254</v>
      </c>
      <c r="F149" s="2" t="s">
        <v>107</v>
      </c>
    </row>
    <row r="150" customFormat="false" ht="15" hidden="false" customHeight="false" outlineLevel="0" collapsed="false">
      <c r="A150" s="2" t="n">
        <v>149</v>
      </c>
      <c r="B150" s="2" t="s">
        <v>284</v>
      </c>
      <c r="C150" s="2" t="s">
        <v>68</v>
      </c>
      <c r="D150" s="2" t="s">
        <v>285</v>
      </c>
      <c r="E150" s="2" t="s">
        <v>254</v>
      </c>
      <c r="F150" s="2" t="s">
        <v>116</v>
      </c>
    </row>
    <row r="151" customFormat="false" ht="15" hidden="false" customHeight="false" outlineLevel="0" collapsed="false">
      <c r="A151" s="2" t="n">
        <v>150</v>
      </c>
      <c r="B151" s="2" t="s">
        <v>88</v>
      </c>
      <c r="C151" s="2" t="s">
        <v>68</v>
      </c>
      <c r="D151" s="2" t="s">
        <v>286</v>
      </c>
      <c r="E151" s="2" t="s">
        <v>254</v>
      </c>
      <c r="F151" s="2" t="s">
        <v>90</v>
      </c>
    </row>
    <row r="152" customFormat="false" ht="15" hidden="false" customHeight="false" outlineLevel="0" collapsed="false">
      <c r="A152" s="2" t="n">
        <v>151</v>
      </c>
      <c r="B152" s="2" t="s">
        <v>287</v>
      </c>
      <c r="C152" s="2" t="s">
        <v>68</v>
      </c>
      <c r="D152" s="2" t="s">
        <v>288</v>
      </c>
      <c r="E152" s="2" t="s">
        <v>254</v>
      </c>
      <c r="F152" s="2" t="s">
        <v>287</v>
      </c>
    </row>
    <row r="153" customFormat="false" ht="15" hidden="false" customHeight="false" outlineLevel="0" collapsed="false">
      <c r="A153" s="2" t="n">
        <v>152</v>
      </c>
      <c r="B153" s="2" t="s">
        <v>289</v>
      </c>
      <c r="C153" s="2" t="s">
        <v>68</v>
      </c>
      <c r="D153" s="2" t="s">
        <v>290</v>
      </c>
      <c r="E153" s="2" t="s">
        <v>254</v>
      </c>
      <c r="F153" s="2" t="s">
        <v>103</v>
      </c>
    </row>
    <row r="154" customFormat="false" ht="15" hidden="false" customHeight="false" outlineLevel="0" collapsed="false">
      <c r="A154" s="2" t="n">
        <v>153</v>
      </c>
      <c r="B154" s="2" t="s">
        <v>291</v>
      </c>
      <c r="C154" s="2" t="s">
        <v>68</v>
      </c>
      <c r="D154" s="2" t="s">
        <v>292</v>
      </c>
      <c r="E154" s="2" t="s">
        <v>254</v>
      </c>
      <c r="F154" s="2" t="s">
        <v>85</v>
      </c>
    </row>
    <row r="155" customFormat="false" ht="15" hidden="false" customHeight="false" outlineLevel="0" collapsed="false">
      <c r="A155" s="2" t="n">
        <v>154</v>
      </c>
      <c r="B155" s="2" t="s">
        <v>293</v>
      </c>
      <c r="C155" s="2" t="s">
        <v>68</v>
      </c>
      <c r="D155" s="2" t="s">
        <v>294</v>
      </c>
      <c r="E155" s="2" t="s">
        <v>254</v>
      </c>
      <c r="F155" s="2" t="s">
        <v>124</v>
      </c>
    </row>
    <row r="156" customFormat="false" ht="15" hidden="false" customHeight="false" outlineLevel="0" collapsed="false">
      <c r="A156" s="2" t="n">
        <v>155</v>
      </c>
      <c r="B156" s="2" t="s">
        <v>295</v>
      </c>
      <c r="C156" s="2" t="s">
        <v>68</v>
      </c>
      <c r="D156" s="2" t="s">
        <v>296</v>
      </c>
      <c r="E156" s="2" t="s">
        <v>254</v>
      </c>
      <c r="F156" s="2" t="s">
        <v>76</v>
      </c>
    </row>
    <row r="157" customFormat="false" ht="15" hidden="false" customHeight="false" outlineLevel="0" collapsed="false">
      <c r="A157" s="2" t="n">
        <v>156</v>
      </c>
      <c r="B157" s="2" t="s">
        <v>297</v>
      </c>
      <c r="C157" s="2" t="s">
        <v>68</v>
      </c>
      <c r="D157" s="2" t="s">
        <v>298</v>
      </c>
      <c r="E157" s="2" t="s">
        <v>254</v>
      </c>
      <c r="F157" s="2" t="s">
        <v>141</v>
      </c>
    </row>
    <row r="158" customFormat="false" ht="15" hidden="false" customHeight="false" outlineLevel="0" collapsed="false">
      <c r="A158" s="2" t="n">
        <v>157</v>
      </c>
      <c r="B158" s="2" t="s">
        <v>299</v>
      </c>
      <c r="C158" s="2" t="s">
        <v>68</v>
      </c>
      <c r="D158" s="2" t="s">
        <v>300</v>
      </c>
      <c r="E158" s="2" t="s">
        <v>254</v>
      </c>
      <c r="F158" s="2" t="s">
        <v>144</v>
      </c>
    </row>
    <row r="159" customFormat="false" ht="15" hidden="false" customHeight="false" outlineLevel="0" collapsed="false">
      <c r="A159" s="2" t="n">
        <v>158</v>
      </c>
      <c r="B159" s="2" t="s">
        <v>301</v>
      </c>
      <c r="C159" s="2" t="s">
        <v>68</v>
      </c>
      <c r="D159" s="2" t="s">
        <v>302</v>
      </c>
      <c r="E159" s="2" t="s">
        <v>254</v>
      </c>
      <c r="F159" s="2" t="s">
        <v>141</v>
      </c>
    </row>
    <row r="160" customFormat="false" ht="15" hidden="false" customHeight="false" outlineLevel="0" collapsed="false">
      <c r="A160" s="2" t="n">
        <v>159</v>
      </c>
      <c r="B160" s="2" t="s">
        <v>303</v>
      </c>
      <c r="C160" s="2" t="s">
        <v>68</v>
      </c>
      <c r="D160" s="2" t="s">
        <v>304</v>
      </c>
      <c r="E160" s="2" t="s">
        <v>254</v>
      </c>
      <c r="F160" s="2" t="s">
        <v>305</v>
      </c>
    </row>
    <row r="161" customFormat="false" ht="15" hidden="false" customHeight="false" outlineLevel="0" collapsed="false">
      <c r="A161" s="2" t="n">
        <v>160</v>
      </c>
      <c r="B161" s="2" t="s">
        <v>306</v>
      </c>
      <c r="C161" s="2" t="s">
        <v>68</v>
      </c>
      <c r="D161" s="2" t="s">
        <v>307</v>
      </c>
      <c r="E161" s="2" t="s">
        <v>254</v>
      </c>
      <c r="F161" s="2" t="s">
        <v>133</v>
      </c>
    </row>
    <row r="162" customFormat="false" ht="15" hidden="false" customHeight="false" outlineLevel="0" collapsed="false">
      <c r="A162" s="2" t="n">
        <v>161</v>
      </c>
      <c r="B162" s="2" t="s">
        <v>308</v>
      </c>
      <c r="C162" s="2" t="s">
        <v>68</v>
      </c>
      <c r="D162" s="2" t="s">
        <v>309</v>
      </c>
      <c r="E162" s="2" t="s">
        <v>254</v>
      </c>
      <c r="F162" s="2" t="s">
        <v>308</v>
      </c>
    </row>
    <row r="163" customFormat="false" ht="15" hidden="false" customHeight="false" outlineLevel="0" collapsed="false">
      <c r="A163" s="2" t="n">
        <v>162</v>
      </c>
      <c r="B163" s="2" t="s">
        <v>310</v>
      </c>
      <c r="C163" s="2" t="s">
        <v>68</v>
      </c>
      <c r="D163" s="2" t="s">
        <v>311</v>
      </c>
      <c r="E163" s="2" t="s">
        <v>254</v>
      </c>
      <c r="F163" s="2" t="s">
        <v>79</v>
      </c>
    </row>
    <row r="164" customFormat="false" ht="15" hidden="false" customHeight="false" outlineLevel="0" collapsed="false">
      <c r="A164" s="2" t="n">
        <v>163</v>
      </c>
      <c r="B164" s="2" t="s">
        <v>216</v>
      </c>
      <c r="C164" s="2" t="s">
        <v>68</v>
      </c>
      <c r="D164" s="2" t="s">
        <v>312</v>
      </c>
      <c r="E164" s="2" t="s">
        <v>254</v>
      </c>
      <c r="F164" s="2" t="s">
        <v>218</v>
      </c>
    </row>
    <row r="165" customFormat="false" ht="15" hidden="false" customHeight="false" outlineLevel="0" collapsed="false">
      <c r="A165" s="2" t="n">
        <v>164</v>
      </c>
      <c r="B165" s="2" t="s">
        <v>313</v>
      </c>
      <c r="C165" s="2" t="s">
        <v>68</v>
      </c>
      <c r="D165" s="2" t="s">
        <v>314</v>
      </c>
      <c r="E165" s="2" t="s">
        <v>254</v>
      </c>
      <c r="F165" s="2" t="s">
        <v>147</v>
      </c>
    </row>
    <row r="166" customFormat="false" ht="15" hidden="false" customHeight="false" outlineLevel="0" collapsed="false">
      <c r="A166" s="2" t="n">
        <v>165</v>
      </c>
      <c r="B166" s="2" t="s">
        <v>315</v>
      </c>
      <c r="C166" s="2" t="s">
        <v>7</v>
      </c>
      <c r="D166" s="2" t="s">
        <v>316</v>
      </c>
      <c r="E166" s="2" t="s">
        <v>317</v>
      </c>
      <c r="F166" s="2" t="s">
        <v>12</v>
      </c>
    </row>
    <row r="167" customFormat="false" ht="15" hidden="false" customHeight="false" outlineLevel="0" collapsed="false">
      <c r="A167" s="2" t="n">
        <v>166</v>
      </c>
      <c r="B167" s="2" t="s">
        <v>6</v>
      </c>
      <c r="C167" s="2" t="s">
        <v>7</v>
      </c>
      <c r="D167" s="2" t="s">
        <v>318</v>
      </c>
      <c r="E167" s="2" t="s">
        <v>317</v>
      </c>
      <c r="F167" s="2" t="s">
        <v>6</v>
      </c>
    </row>
    <row r="168" customFormat="false" ht="15" hidden="false" customHeight="false" outlineLevel="0" collapsed="false">
      <c r="A168" s="2" t="n">
        <v>167</v>
      </c>
      <c r="B168" s="2" t="s">
        <v>160</v>
      </c>
      <c r="C168" s="2" t="s">
        <v>7</v>
      </c>
      <c r="D168" s="2" t="s">
        <v>319</v>
      </c>
      <c r="E168" s="2" t="s">
        <v>317</v>
      </c>
      <c r="F168" s="2" t="s">
        <v>160</v>
      </c>
    </row>
    <row r="169" customFormat="false" ht="15" hidden="false" customHeight="false" outlineLevel="0" collapsed="false">
      <c r="A169" s="2" t="n">
        <v>168</v>
      </c>
      <c r="B169" s="2" t="s">
        <v>320</v>
      </c>
      <c r="C169" s="2" t="s">
        <v>7</v>
      </c>
      <c r="D169" s="2" t="s">
        <v>321</v>
      </c>
      <c r="E169" s="2" t="s">
        <v>317</v>
      </c>
      <c r="F169" s="2" t="s">
        <v>320</v>
      </c>
    </row>
    <row r="170" customFormat="false" ht="15" hidden="false" customHeight="false" outlineLevel="0" collapsed="false">
      <c r="A170" s="2" t="n">
        <v>169</v>
      </c>
      <c r="B170" s="2" t="s">
        <v>16</v>
      </c>
      <c r="C170" s="2" t="s">
        <v>7</v>
      </c>
      <c r="D170" s="2" t="s">
        <v>161</v>
      </c>
      <c r="E170" s="2" t="s">
        <v>317</v>
      </c>
      <c r="F170" s="2" t="s">
        <v>16</v>
      </c>
    </row>
    <row r="171" customFormat="false" ht="15" hidden="false" customHeight="false" outlineLevel="0" collapsed="false">
      <c r="A171" s="2" t="n">
        <v>170</v>
      </c>
      <c r="B171" s="2" t="s">
        <v>20</v>
      </c>
      <c r="C171" s="2" t="s">
        <v>7</v>
      </c>
      <c r="D171" s="2" t="s">
        <v>322</v>
      </c>
      <c r="E171" s="2" t="s">
        <v>317</v>
      </c>
      <c r="F171" s="2" t="s">
        <v>20</v>
      </c>
    </row>
    <row r="172" customFormat="false" ht="15" hidden="false" customHeight="false" outlineLevel="0" collapsed="false">
      <c r="A172" s="2" t="n">
        <v>171</v>
      </c>
      <c r="B172" s="2" t="s">
        <v>18</v>
      </c>
      <c r="C172" s="2" t="s">
        <v>7</v>
      </c>
      <c r="D172" s="2" t="s">
        <v>323</v>
      </c>
      <c r="E172" s="2" t="s">
        <v>317</v>
      </c>
      <c r="F172" s="2" t="s">
        <v>18</v>
      </c>
    </row>
    <row r="173" customFormat="false" ht="15" hidden="false" customHeight="false" outlineLevel="0" collapsed="false">
      <c r="A173" s="2" t="n">
        <v>172</v>
      </c>
      <c r="B173" s="2" t="s">
        <v>27</v>
      </c>
      <c r="C173" s="2" t="s">
        <v>7</v>
      </c>
      <c r="D173" s="2" t="s">
        <v>324</v>
      </c>
      <c r="E173" s="2" t="s">
        <v>317</v>
      </c>
      <c r="F173" s="2" t="s">
        <v>27</v>
      </c>
    </row>
    <row r="174" customFormat="false" ht="15" hidden="false" customHeight="false" outlineLevel="0" collapsed="false">
      <c r="A174" s="2" t="n">
        <v>173</v>
      </c>
      <c r="B174" s="2" t="s">
        <v>22</v>
      </c>
      <c r="C174" s="2" t="s">
        <v>7</v>
      </c>
      <c r="D174" s="2" t="s">
        <v>325</v>
      </c>
      <c r="E174" s="2" t="s">
        <v>317</v>
      </c>
      <c r="F174" s="2" t="s">
        <v>22</v>
      </c>
    </row>
    <row r="175" customFormat="false" ht="15" hidden="false" customHeight="false" outlineLevel="0" collapsed="false">
      <c r="A175" s="2" t="n">
        <v>174</v>
      </c>
      <c r="B175" s="2" t="s">
        <v>24</v>
      </c>
      <c r="C175" s="2" t="s">
        <v>7</v>
      </c>
      <c r="D175" s="2" t="s">
        <v>326</v>
      </c>
      <c r="E175" s="2" t="s">
        <v>317</v>
      </c>
      <c r="F175" s="2" t="s">
        <v>24</v>
      </c>
    </row>
    <row r="176" customFormat="false" ht="15" hidden="false" customHeight="false" outlineLevel="0" collapsed="false">
      <c r="A176" s="2" t="n">
        <v>175</v>
      </c>
      <c r="B176" s="2" t="s">
        <v>26</v>
      </c>
      <c r="C176" s="2" t="s">
        <v>7</v>
      </c>
      <c r="D176" s="2" t="s">
        <v>327</v>
      </c>
      <c r="E176" s="2" t="s">
        <v>317</v>
      </c>
      <c r="F176" s="2" t="s">
        <v>26</v>
      </c>
    </row>
    <row r="177" customFormat="false" ht="15" hidden="false" customHeight="false" outlineLevel="0" collapsed="false">
      <c r="A177" s="2" t="n">
        <v>176</v>
      </c>
      <c r="B177" s="2" t="s">
        <v>328</v>
      </c>
      <c r="C177" s="2" t="s">
        <v>7</v>
      </c>
      <c r="D177" s="2" t="s">
        <v>329</v>
      </c>
      <c r="E177" s="2" t="s">
        <v>317</v>
      </c>
      <c r="F177" s="2" t="s">
        <v>328</v>
      </c>
    </row>
    <row r="178" customFormat="false" ht="15" hidden="false" customHeight="false" outlineLevel="0" collapsed="false">
      <c r="A178" s="2" t="n">
        <v>177</v>
      </c>
      <c r="B178" s="2" t="s">
        <v>330</v>
      </c>
      <c r="C178" s="2" t="s">
        <v>7</v>
      </c>
      <c r="D178" s="2" t="s">
        <v>331</v>
      </c>
      <c r="E178" s="2" t="s">
        <v>317</v>
      </c>
      <c r="F178" s="2" t="s">
        <v>330</v>
      </c>
    </row>
    <row r="179" customFormat="false" ht="15" hidden="false" customHeight="false" outlineLevel="0" collapsed="false">
      <c r="A179" s="2" t="n">
        <v>178</v>
      </c>
      <c r="B179" s="2" t="s">
        <v>332</v>
      </c>
      <c r="C179" s="2" t="s">
        <v>7</v>
      </c>
      <c r="D179" s="2" t="s">
        <v>333</v>
      </c>
      <c r="E179" s="2" t="s">
        <v>317</v>
      </c>
      <c r="F179" s="2" t="s">
        <v>332</v>
      </c>
    </row>
    <row r="180" customFormat="false" ht="15" hidden="false" customHeight="false" outlineLevel="0" collapsed="false">
      <c r="A180" s="2" t="n">
        <v>179</v>
      </c>
      <c r="B180" s="2" t="s">
        <v>155</v>
      </c>
      <c r="C180" s="2" t="s">
        <v>7</v>
      </c>
      <c r="D180" s="2" t="s">
        <v>334</v>
      </c>
      <c r="E180" s="2" t="s">
        <v>317</v>
      </c>
      <c r="F180" s="2" t="s">
        <v>155</v>
      </c>
    </row>
    <row r="181" customFormat="false" ht="15" hidden="false" customHeight="false" outlineLevel="0" collapsed="false">
      <c r="A181" s="2" t="n">
        <v>180</v>
      </c>
      <c r="B181" s="2" t="s">
        <v>335</v>
      </c>
      <c r="C181" s="2" t="s">
        <v>7</v>
      </c>
      <c r="D181" s="2" t="s">
        <v>336</v>
      </c>
      <c r="E181" s="2" t="s">
        <v>317</v>
      </c>
      <c r="F181" s="2" t="s">
        <v>335</v>
      </c>
    </row>
    <row r="182" customFormat="false" ht="15" hidden="false" customHeight="false" outlineLevel="0" collapsed="false">
      <c r="A182" s="2" t="n">
        <v>181</v>
      </c>
      <c r="B182" s="2" t="s">
        <v>337</v>
      </c>
      <c r="C182" s="2" t="s">
        <v>7</v>
      </c>
      <c r="D182" s="2" t="s">
        <v>338</v>
      </c>
      <c r="E182" s="2" t="s">
        <v>317</v>
      </c>
      <c r="F182" s="2" t="s">
        <v>337</v>
      </c>
    </row>
    <row r="183" customFormat="false" ht="15" hidden="false" customHeight="false" outlineLevel="0" collapsed="false">
      <c r="A183" s="2" t="n">
        <v>182</v>
      </c>
      <c r="B183" s="2" t="s">
        <v>339</v>
      </c>
      <c r="C183" s="2" t="s">
        <v>7</v>
      </c>
      <c r="D183" s="2" t="s">
        <v>340</v>
      </c>
      <c r="E183" s="2" t="s">
        <v>317</v>
      </c>
      <c r="F183" s="2" t="s">
        <v>339</v>
      </c>
    </row>
    <row r="184" customFormat="false" ht="15" hidden="false" customHeight="false" outlineLevel="0" collapsed="false">
      <c r="A184" s="2" t="n">
        <v>183</v>
      </c>
      <c r="B184" s="2" t="s">
        <v>341</v>
      </c>
      <c r="C184" s="2" t="s">
        <v>7</v>
      </c>
      <c r="D184" s="2" t="s">
        <v>342</v>
      </c>
      <c r="E184" s="2" t="s">
        <v>317</v>
      </c>
      <c r="F184" s="2" t="s">
        <v>341</v>
      </c>
    </row>
    <row r="185" customFormat="false" ht="15" hidden="false" customHeight="false" outlineLevel="0" collapsed="false">
      <c r="A185" s="2" t="n">
        <v>184</v>
      </c>
      <c r="B185" s="2" t="s">
        <v>343</v>
      </c>
      <c r="C185" s="2" t="s">
        <v>7</v>
      </c>
      <c r="D185" s="2" t="s">
        <v>342</v>
      </c>
      <c r="E185" s="2" t="s">
        <v>317</v>
      </c>
      <c r="F185" s="2" t="s">
        <v>343</v>
      </c>
    </row>
    <row r="186" customFormat="false" ht="15" hidden="false" customHeight="false" outlineLevel="0" collapsed="false">
      <c r="A186" s="2" t="n">
        <v>185</v>
      </c>
      <c r="B186" s="2" t="s">
        <v>344</v>
      </c>
      <c r="C186" s="2" t="s">
        <v>7</v>
      </c>
      <c r="D186" s="2" t="s">
        <v>345</v>
      </c>
      <c r="E186" s="2" t="s">
        <v>317</v>
      </c>
      <c r="F186" s="2" t="s">
        <v>344</v>
      </c>
    </row>
    <row r="187" customFormat="false" ht="15" hidden="false" customHeight="false" outlineLevel="0" collapsed="false">
      <c r="A187" s="2" t="n">
        <v>186</v>
      </c>
      <c r="B187" s="2" t="s">
        <v>346</v>
      </c>
      <c r="C187" s="2" t="s">
        <v>7</v>
      </c>
      <c r="D187" s="2" t="s">
        <v>347</v>
      </c>
      <c r="E187" s="2" t="s">
        <v>317</v>
      </c>
      <c r="F187" s="2" t="s">
        <v>346</v>
      </c>
    </row>
    <row r="188" customFormat="false" ht="15" hidden="false" customHeight="false" outlineLevel="0" collapsed="false">
      <c r="A188" s="2" t="n">
        <v>187</v>
      </c>
      <c r="B188" s="2" t="s">
        <v>174</v>
      </c>
      <c r="C188" s="2" t="s">
        <v>7</v>
      </c>
      <c r="D188" s="2" t="s">
        <v>348</v>
      </c>
      <c r="E188" s="2" t="s">
        <v>317</v>
      </c>
      <c r="F188" s="2" t="s">
        <v>174</v>
      </c>
    </row>
    <row r="189" customFormat="false" ht="15" hidden="false" customHeight="false" outlineLevel="0" collapsed="false">
      <c r="A189" s="2" t="n">
        <v>188</v>
      </c>
      <c r="B189" s="2" t="s">
        <v>176</v>
      </c>
      <c r="C189" s="2" t="s">
        <v>7</v>
      </c>
      <c r="D189" s="2" t="s">
        <v>348</v>
      </c>
      <c r="E189" s="2" t="s">
        <v>317</v>
      </c>
      <c r="F189" s="2" t="s">
        <v>176</v>
      </c>
    </row>
    <row r="190" customFormat="false" ht="15" hidden="false" customHeight="false" outlineLevel="0" collapsed="false">
      <c r="A190" s="2" t="n">
        <v>189</v>
      </c>
      <c r="B190" s="2" t="s">
        <v>349</v>
      </c>
      <c r="C190" s="2" t="s">
        <v>7</v>
      </c>
      <c r="D190" s="2" t="s">
        <v>350</v>
      </c>
      <c r="E190" s="2" t="s">
        <v>317</v>
      </c>
      <c r="F190" s="2" t="s">
        <v>349</v>
      </c>
    </row>
    <row r="191" customFormat="false" ht="15" hidden="false" customHeight="false" outlineLevel="0" collapsed="false">
      <c r="A191" s="2" t="n">
        <v>190</v>
      </c>
      <c r="B191" s="2" t="s">
        <v>351</v>
      </c>
      <c r="C191" s="2" t="s">
        <v>7</v>
      </c>
      <c r="D191" s="2" t="s">
        <v>352</v>
      </c>
      <c r="E191" s="2" t="s">
        <v>317</v>
      </c>
      <c r="F191" s="2" t="s">
        <v>351</v>
      </c>
    </row>
    <row r="192" customFormat="false" ht="15" hidden="false" customHeight="false" outlineLevel="0" collapsed="false">
      <c r="A192" s="2" t="n">
        <v>191</v>
      </c>
      <c r="B192" s="2" t="s">
        <v>353</v>
      </c>
      <c r="C192" s="2" t="s">
        <v>7</v>
      </c>
      <c r="D192" s="2" t="s">
        <v>354</v>
      </c>
      <c r="E192" s="2" t="s">
        <v>317</v>
      </c>
      <c r="F192" s="2" t="s">
        <v>353</v>
      </c>
    </row>
    <row r="193" customFormat="false" ht="15" hidden="false" customHeight="false" outlineLevel="0" collapsed="false">
      <c r="A193" s="2" t="n">
        <v>192</v>
      </c>
      <c r="B193" s="2" t="s">
        <v>355</v>
      </c>
      <c r="C193" s="2" t="s">
        <v>7</v>
      </c>
      <c r="D193" s="2" t="s">
        <v>356</v>
      </c>
      <c r="E193" s="2" t="s">
        <v>317</v>
      </c>
      <c r="F193" s="2" t="s">
        <v>355</v>
      </c>
    </row>
    <row r="194" customFormat="false" ht="15" hidden="false" customHeight="false" outlineLevel="0" collapsed="false">
      <c r="A194" s="2" t="n">
        <v>193</v>
      </c>
      <c r="B194" s="2" t="s">
        <v>357</v>
      </c>
      <c r="C194" s="2" t="s">
        <v>7</v>
      </c>
      <c r="D194" s="2" t="s">
        <v>358</v>
      </c>
      <c r="E194" s="2" t="s">
        <v>317</v>
      </c>
      <c r="F194" s="2" t="s">
        <v>357</v>
      </c>
    </row>
    <row r="195" customFormat="false" ht="15" hidden="false" customHeight="false" outlineLevel="0" collapsed="false">
      <c r="A195" s="2" t="n">
        <v>194</v>
      </c>
      <c r="B195" s="2" t="s">
        <v>359</v>
      </c>
      <c r="C195" s="2" t="s">
        <v>7</v>
      </c>
      <c r="D195" s="2" t="s">
        <v>358</v>
      </c>
      <c r="E195" s="2" t="s">
        <v>317</v>
      </c>
      <c r="F195" s="2" t="s">
        <v>359</v>
      </c>
    </row>
    <row r="196" customFormat="false" ht="15" hidden="false" customHeight="false" outlineLevel="0" collapsed="false">
      <c r="A196" s="2" t="n">
        <v>195</v>
      </c>
      <c r="B196" s="2" t="s">
        <v>360</v>
      </c>
      <c r="C196" s="2" t="s">
        <v>7</v>
      </c>
      <c r="D196" s="2" t="s">
        <v>361</v>
      </c>
      <c r="E196" s="2" t="s">
        <v>317</v>
      </c>
      <c r="F196" s="2" t="s">
        <v>360</v>
      </c>
    </row>
    <row r="197" customFormat="false" ht="15" hidden="false" customHeight="false" outlineLevel="0" collapsed="false">
      <c r="A197" s="2" t="n">
        <v>196</v>
      </c>
      <c r="B197" s="2" t="s">
        <v>362</v>
      </c>
      <c r="C197" s="2" t="s">
        <v>7</v>
      </c>
      <c r="D197" s="2" t="s">
        <v>363</v>
      </c>
      <c r="E197" s="2" t="s">
        <v>317</v>
      </c>
      <c r="F197" s="2" t="s">
        <v>362</v>
      </c>
    </row>
    <row r="198" customFormat="false" ht="15" hidden="false" customHeight="false" outlineLevel="0" collapsed="false">
      <c r="A198" s="2" t="n">
        <v>197</v>
      </c>
      <c r="B198" s="2" t="s">
        <v>364</v>
      </c>
      <c r="C198" s="2" t="s">
        <v>7</v>
      </c>
      <c r="D198" s="2" t="s">
        <v>365</v>
      </c>
      <c r="E198" s="2" t="s">
        <v>317</v>
      </c>
      <c r="F198" s="2" t="s">
        <v>364</v>
      </c>
    </row>
    <row r="199" customFormat="false" ht="15" hidden="false" customHeight="false" outlineLevel="0" collapsed="false">
      <c r="A199" s="2" t="n">
        <v>198</v>
      </c>
      <c r="B199" s="2" t="s">
        <v>55</v>
      </c>
      <c r="C199" s="2" t="s">
        <v>7</v>
      </c>
      <c r="D199" s="2" t="s">
        <v>366</v>
      </c>
      <c r="E199" s="2" t="s">
        <v>317</v>
      </c>
      <c r="F199" s="2" t="s">
        <v>55</v>
      </c>
    </row>
    <row r="200" customFormat="false" ht="15" hidden="false" customHeight="false" outlineLevel="0" collapsed="false">
      <c r="A200" s="2" t="n">
        <v>199</v>
      </c>
      <c r="B200" s="2" t="s">
        <v>57</v>
      </c>
      <c r="C200" s="2" t="s">
        <v>7</v>
      </c>
      <c r="D200" s="2" t="s">
        <v>366</v>
      </c>
      <c r="E200" s="2" t="s">
        <v>317</v>
      </c>
      <c r="F200" s="2" t="s">
        <v>57</v>
      </c>
    </row>
    <row r="201" customFormat="false" ht="15" hidden="false" customHeight="false" outlineLevel="0" collapsed="false">
      <c r="A201" s="2" t="n">
        <v>200</v>
      </c>
      <c r="B201" s="2" t="s">
        <v>58</v>
      </c>
      <c r="C201" s="2" t="s">
        <v>7</v>
      </c>
      <c r="D201" s="2" t="s">
        <v>367</v>
      </c>
      <c r="E201" s="2" t="s">
        <v>317</v>
      </c>
      <c r="F201" s="2" t="s">
        <v>58</v>
      </c>
    </row>
    <row r="202" customFormat="false" ht="15" hidden="false" customHeight="false" outlineLevel="0" collapsed="false">
      <c r="A202" s="2" t="n">
        <v>201</v>
      </c>
      <c r="B202" s="2" t="s">
        <v>60</v>
      </c>
      <c r="C202" s="2" t="s">
        <v>7</v>
      </c>
      <c r="D202" s="2" t="s">
        <v>368</v>
      </c>
      <c r="E202" s="2" t="s">
        <v>317</v>
      </c>
      <c r="F202" s="2" t="s">
        <v>60</v>
      </c>
    </row>
    <row r="203" customFormat="false" ht="15" hidden="false" customHeight="false" outlineLevel="0" collapsed="false">
      <c r="A203" s="2" t="n">
        <v>202</v>
      </c>
      <c r="B203" s="2" t="s">
        <v>61</v>
      </c>
      <c r="C203" s="2" t="s">
        <v>7</v>
      </c>
      <c r="D203" s="2" t="s">
        <v>367</v>
      </c>
      <c r="E203" s="2" t="s">
        <v>317</v>
      </c>
      <c r="F203" s="2" t="s">
        <v>61</v>
      </c>
    </row>
    <row r="204" customFormat="false" ht="15" hidden="false" customHeight="false" outlineLevel="0" collapsed="false">
      <c r="A204" s="2" t="n">
        <v>203</v>
      </c>
      <c r="B204" s="2" t="s">
        <v>62</v>
      </c>
      <c r="C204" s="2" t="s">
        <v>7</v>
      </c>
      <c r="D204" s="2" t="s">
        <v>369</v>
      </c>
      <c r="E204" s="2" t="s">
        <v>317</v>
      </c>
      <c r="F204" s="2" t="s">
        <v>62</v>
      </c>
    </row>
    <row r="205" customFormat="false" ht="15" hidden="false" customHeight="false" outlineLevel="0" collapsed="false">
      <c r="A205" s="2" t="n">
        <v>204</v>
      </c>
      <c r="B205" s="2" t="s">
        <v>53</v>
      </c>
      <c r="C205" s="2" t="s">
        <v>7</v>
      </c>
      <c r="D205" s="2" t="s">
        <v>370</v>
      </c>
      <c r="E205" s="2" t="s">
        <v>317</v>
      </c>
      <c r="F205" s="2" t="s">
        <v>53</v>
      </c>
    </row>
    <row r="206" customFormat="false" ht="15" hidden="false" customHeight="false" outlineLevel="0" collapsed="false">
      <c r="A206" s="2" t="n">
        <v>205</v>
      </c>
      <c r="B206" s="2" t="s">
        <v>271</v>
      </c>
      <c r="C206" s="2" t="s">
        <v>7</v>
      </c>
      <c r="D206" s="2" t="s">
        <v>371</v>
      </c>
      <c r="E206" s="2" t="s">
        <v>317</v>
      </c>
      <c r="F206" s="2" t="s">
        <v>271</v>
      </c>
    </row>
    <row r="207" customFormat="false" ht="15" hidden="false" customHeight="false" outlineLevel="0" collapsed="false">
      <c r="A207" s="2" t="n">
        <v>206</v>
      </c>
      <c r="B207" s="2" t="s">
        <v>372</v>
      </c>
      <c r="C207" s="2" t="s">
        <v>7</v>
      </c>
      <c r="D207" s="2" t="s">
        <v>373</v>
      </c>
      <c r="E207" s="2" t="s">
        <v>317</v>
      </c>
      <c r="F207" s="2" t="s">
        <v>374</v>
      </c>
    </row>
    <row r="208" customFormat="false" ht="15" hidden="false" customHeight="false" outlineLevel="0" collapsed="false">
      <c r="A208" s="2" t="n">
        <v>207</v>
      </c>
      <c r="B208" s="2" t="s">
        <v>375</v>
      </c>
      <c r="C208" s="2" t="s">
        <v>7</v>
      </c>
      <c r="D208" s="2" t="s">
        <v>376</v>
      </c>
      <c r="E208" s="2" t="s">
        <v>317</v>
      </c>
      <c r="F208" s="2" t="s">
        <v>375</v>
      </c>
    </row>
    <row r="209" customFormat="false" ht="15" hidden="false" customHeight="false" outlineLevel="0" collapsed="false">
      <c r="A209" s="2" t="n">
        <v>208</v>
      </c>
      <c r="B209" s="2" t="s">
        <v>377</v>
      </c>
      <c r="C209" s="2" t="s">
        <v>7</v>
      </c>
      <c r="D209" s="2" t="s">
        <v>376</v>
      </c>
      <c r="E209" s="2" t="s">
        <v>317</v>
      </c>
      <c r="F209" s="2" t="s">
        <v>377</v>
      </c>
    </row>
    <row r="210" customFormat="false" ht="15" hidden="false" customHeight="false" outlineLevel="0" collapsed="false">
      <c r="A210" s="2" t="n">
        <v>209</v>
      </c>
      <c r="B210" s="2" t="s">
        <v>378</v>
      </c>
      <c r="C210" s="2" t="s">
        <v>7</v>
      </c>
      <c r="D210" s="2" t="s">
        <v>379</v>
      </c>
      <c r="E210" s="2" t="s">
        <v>317</v>
      </c>
      <c r="F210" s="2" t="s">
        <v>378</v>
      </c>
    </row>
    <row r="211" customFormat="false" ht="15" hidden="false" customHeight="false" outlineLevel="0" collapsed="false">
      <c r="A211" s="2" t="n">
        <v>210</v>
      </c>
      <c r="B211" s="2" t="s">
        <v>380</v>
      </c>
      <c r="C211" s="2" t="s">
        <v>7</v>
      </c>
      <c r="D211" s="2" t="s">
        <v>230</v>
      </c>
      <c r="E211" s="2" t="s">
        <v>317</v>
      </c>
      <c r="F211" s="2" t="s">
        <v>380</v>
      </c>
    </row>
    <row r="212" customFormat="false" ht="15" hidden="false" customHeight="false" outlineLevel="0" collapsed="false">
      <c r="A212" s="2" t="n">
        <v>211</v>
      </c>
      <c r="B212" s="2" t="s">
        <v>381</v>
      </c>
      <c r="C212" s="2" t="s">
        <v>7</v>
      </c>
      <c r="D212" s="2" t="s">
        <v>230</v>
      </c>
      <c r="E212" s="2" t="s">
        <v>317</v>
      </c>
      <c r="F212" s="2" t="s">
        <v>381</v>
      </c>
    </row>
    <row r="213" customFormat="false" ht="15" hidden="false" customHeight="false" outlineLevel="0" collapsed="false">
      <c r="A213" s="2" t="n">
        <v>212</v>
      </c>
      <c r="B213" s="2" t="s">
        <v>382</v>
      </c>
      <c r="C213" s="2" t="s">
        <v>7</v>
      </c>
      <c r="D213" s="2" t="s">
        <v>383</v>
      </c>
      <c r="E213" s="2" t="s">
        <v>317</v>
      </c>
      <c r="F213" s="2" t="s">
        <v>382</v>
      </c>
    </row>
    <row r="214" customFormat="false" ht="15" hidden="false" customHeight="false" outlineLevel="0" collapsed="false">
      <c r="A214" s="2" t="n">
        <v>213</v>
      </c>
      <c r="B214" s="2" t="s">
        <v>384</v>
      </c>
      <c r="C214" s="2" t="s">
        <v>7</v>
      </c>
      <c r="D214" s="2" t="s">
        <v>385</v>
      </c>
      <c r="E214" s="2" t="s">
        <v>317</v>
      </c>
      <c r="F214" s="2" t="s">
        <v>384</v>
      </c>
    </row>
    <row r="215" customFormat="false" ht="15" hidden="false" customHeight="false" outlineLevel="0" collapsed="false">
      <c r="A215" s="2" t="n">
        <v>214</v>
      </c>
      <c r="B215" s="2" t="s">
        <v>386</v>
      </c>
      <c r="C215" s="2" t="s">
        <v>7</v>
      </c>
      <c r="D215" s="2" t="s">
        <v>387</v>
      </c>
      <c r="E215" s="2" t="s">
        <v>317</v>
      </c>
      <c r="F215" s="2" t="s">
        <v>386</v>
      </c>
    </row>
    <row r="216" customFormat="false" ht="15" hidden="false" customHeight="false" outlineLevel="0" collapsed="false">
      <c r="A216" s="2" t="n">
        <v>215</v>
      </c>
      <c r="B216" s="2" t="s">
        <v>262</v>
      </c>
      <c r="C216" s="2" t="s">
        <v>7</v>
      </c>
      <c r="D216" s="2" t="s">
        <v>388</v>
      </c>
      <c r="E216" s="2" t="s">
        <v>317</v>
      </c>
      <c r="F216" s="2" t="s">
        <v>262</v>
      </c>
    </row>
    <row r="217" customFormat="false" ht="15" hidden="false" customHeight="false" outlineLevel="0" collapsed="false">
      <c r="A217" s="2" t="n">
        <v>216</v>
      </c>
      <c r="B217" s="2" t="s">
        <v>29</v>
      </c>
      <c r="C217" s="2" t="s">
        <v>7</v>
      </c>
      <c r="D217" s="2" t="s">
        <v>389</v>
      </c>
      <c r="E217" s="2" t="s">
        <v>317</v>
      </c>
      <c r="F217" s="2" t="s">
        <v>29</v>
      </c>
    </row>
    <row r="218" customFormat="false" ht="15" hidden="false" customHeight="false" outlineLevel="0" collapsed="false">
      <c r="A218" s="2" t="n">
        <v>217</v>
      </c>
      <c r="B218" s="2" t="s">
        <v>390</v>
      </c>
      <c r="C218" s="2" t="s">
        <v>7</v>
      </c>
      <c r="D218" s="2" t="s">
        <v>391</v>
      </c>
      <c r="E218" s="2" t="s">
        <v>317</v>
      </c>
      <c r="F218" s="2" t="s">
        <v>390</v>
      </c>
    </row>
    <row r="219" customFormat="false" ht="15" hidden="false" customHeight="false" outlineLevel="0" collapsed="false">
      <c r="A219" s="2" t="n">
        <v>218</v>
      </c>
      <c r="B219" s="2" t="s">
        <v>392</v>
      </c>
      <c r="C219" s="2" t="s">
        <v>7</v>
      </c>
      <c r="D219" s="2" t="s">
        <v>393</v>
      </c>
      <c r="E219" s="2" t="s">
        <v>317</v>
      </c>
      <c r="F219" s="2" t="s">
        <v>392</v>
      </c>
    </row>
    <row r="220" customFormat="false" ht="15" hidden="false" customHeight="false" outlineLevel="0" collapsed="false">
      <c r="A220" s="2" t="n">
        <v>219</v>
      </c>
      <c r="B220" s="2" t="s">
        <v>394</v>
      </c>
      <c r="C220" s="2" t="s">
        <v>7</v>
      </c>
      <c r="D220" s="2" t="s">
        <v>393</v>
      </c>
      <c r="E220" s="2" t="s">
        <v>317</v>
      </c>
      <c r="F220" s="2" t="s">
        <v>394</v>
      </c>
    </row>
    <row r="221" customFormat="false" ht="15" hidden="false" customHeight="false" outlineLevel="0" collapsed="false">
      <c r="A221" s="2" t="n">
        <v>220</v>
      </c>
      <c r="B221" s="2" t="s">
        <v>395</v>
      </c>
      <c r="C221" s="2" t="s">
        <v>7</v>
      </c>
      <c r="D221" s="2" t="s">
        <v>396</v>
      </c>
      <c r="E221" s="2" t="s">
        <v>317</v>
      </c>
      <c r="F221" s="2" t="s">
        <v>395</v>
      </c>
    </row>
    <row r="222" customFormat="false" ht="15" hidden="false" customHeight="false" outlineLevel="0" collapsed="false">
      <c r="A222" s="2" t="n">
        <v>221</v>
      </c>
      <c r="B222" s="2" t="s">
        <v>397</v>
      </c>
      <c r="C222" s="2" t="s">
        <v>7</v>
      </c>
      <c r="D222" s="2" t="s">
        <v>398</v>
      </c>
      <c r="E222" s="2" t="s">
        <v>317</v>
      </c>
      <c r="F222" s="2" t="s">
        <v>397</v>
      </c>
    </row>
    <row r="223" customFormat="false" ht="15" hidden="false" customHeight="false" outlineLevel="0" collapsed="false">
      <c r="A223" s="2" t="n">
        <v>222</v>
      </c>
      <c r="B223" s="2" t="s">
        <v>399</v>
      </c>
      <c r="C223" s="2" t="s">
        <v>7</v>
      </c>
      <c r="D223" s="2" t="s">
        <v>400</v>
      </c>
      <c r="E223" s="2" t="s">
        <v>317</v>
      </c>
      <c r="F223" s="2" t="s">
        <v>399</v>
      </c>
    </row>
    <row r="224" customFormat="false" ht="15" hidden="false" customHeight="false" outlineLevel="0" collapsed="false">
      <c r="A224" s="2" t="n">
        <v>223</v>
      </c>
      <c r="B224" s="2" t="s">
        <v>401</v>
      </c>
      <c r="C224" s="2" t="s">
        <v>7</v>
      </c>
      <c r="D224" s="2" t="s">
        <v>402</v>
      </c>
      <c r="E224" s="2" t="s">
        <v>317</v>
      </c>
      <c r="F224" s="2" t="s">
        <v>401</v>
      </c>
    </row>
    <row r="225" customFormat="false" ht="15" hidden="false" customHeight="false" outlineLevel="0" collapsed="false">
      <c r="A225" s="2" t="n">
        <v>224</v>
      </c>
      <c r="B225" s="2" t="s">
        <v>403</v>
      </c>
      <c r="C225" s="2" t="s">
        <v>7</v>
      </c>
      <c r="D225" s="2" t="s">
        <v>404</v>
      </c>
      <c r="E225" s="2" t="s">
        <v>317</v>
      </c>
      <c r="F225" s="2" t="s">
        <v>403</v>
      </c>
    </row>
    <row r="226" customFormat="false" ht="15" hidden="false" customHeight="false" outlineLevel="0" collapsed="false">
      <c r="A226" s="2" t="n">
        <v>225</v>
      </c>
      <c r="B226" s="2" t="s">
        <v>405</v>
      </c>
      <c r="C226" s="2" t="s">
        <v>7</v>
      </c>
      <c r="D226" s="2" t="s">
        <v>406</v>
      </c>
      <c r="E226" s="2" t="s">
        <v>317</v>
      </c>
      <c r="F226" s="2" t="s">
        <v>405</v>
      </c>
    </row>
    <row r="227" customFormat="false" ht="15" hidden="false" customHeight="false" outlineLevel="0" collapsed="false">
      <c r="A227" s="2" t="n">
        <v>226</v>
      </c>
      <c r="B227" s="2" t="s">
        <v>407</v>
      </c>
      <c r="C227" s="2" t="s">
        <v>7</v>
      </c>
      <c r="D227" s="2" t="s">
        <v>408</v>
      </c>
      <c r="E227" s="2" t="s">
        <v>317</v>
      </c>
      <c r="F227" s="2" t="s">
        <v>407</v>
      </c>
    </row>
    <row r="228" customFormat="false" ht="15" hidden="false" customHeight="false" outlineLevel="0" collapsed="false">
      <c r="A228" s="2" t="n">
        <v>227</v>
      </c>
      <c r="B228" s="2" t="s">
        <v>409</v>
      </c>
      <c r="C228" s="2" t="s">
        <v>7</v>
      </c>
      <c r="D228" s="2" t="s">
        <v>410</v>
      </c>
      <c r="E228" s="2" t="s">
        <v>317</v>
      </c>
      <c r="F228" s="2" t="s">
        <v>409</v>
      </c>
    </row>
    <row r="229" customFormat="false" ht="15" hidden="false" customHeight="false" outlineLevel="0" collapsed="false">
      <c r="A229" s="2" t="n">
        <v>228</v>
      </c>
      <c r="B229" s="2" t="s">
        <v>411</v>
      </c>
      <c r="C229" s="2" t="s">
        <v>7</v>
      </c>
      <c r="D229" s="2" t="s">
        <v>412</v>
      </c>
      <c r="E229" s="2" t="s">
        <v>317</v>
      </c>
      <c r="F229" s="2" t="s">
        <v>413</v>
      </c>
    </row>
    <row r="230" customFormat="false" ht="15" hidden="false" customHeight="false" outlineLevel="0" collapsed="false">
      <c r="A230" s="2" t="n">
        <v>229</v>
      </c>
      <c r="B230" s="2" t="s">
        <v>414</v>
      </c>
      <c r="C230" s="2" t="s">
        <v>7</v>
      </c>
      <c r="D230" s="2" t="s">
        <v>415</v>
      </c>
      <c r="E230" s="2" t="s">
        <v>317</v>
      </c>
      <c r="F230" s="2" t="s">
        <v>414</v>
      </c>
    </row>
    <row r="231" customFormat="false" ht="15" hidden="false" customHeight="false" outlineLevel="0" collapsed="false">
      <c r="A231" s="2" t="n">
        <v>230</v>
      </c>
      <c r="B231" s="2" t="s">
        <v>416</v>
      </c>
      <c r="C231" s="2" t="s">
        <v>7</v>
      </c>
      <c r="D231" s="2" t="s">
        <v>417</v>
      </c>
      <c r="E231" s="2" t="s">
        <v>317</v>
      </c>
      <c r="F231" s="2" t="s">
        <v>416</v>
      </c>
    </row>
    <row r="232" customFormat="false" ht="15" hidden="false" customHeight="false" outlineLevel="0" collapsed="false">
      <c r="A232" s="2" t="n">
        <v>231</v>
      </c>
      <c r="B232" s="2" t="s">
        <v>82</v>
      </c>
      <c r="C232" s="2" t="s">
        <v>68</v>
      </c>
      <c r="D232" s="2" t="s">
        <v>197</v>
      </c>
      <c r="E232" s="2" t="s">
        <v>317</v>
      </c>
      <c r="F232" s="2" t="s">
        <v>82</v>
      </c>
    </row>
    <row r="233" customFormat="false" ht="15" hidden="false" customHeight="false" outlineLevel="0" collapsed="false">
      <c r="A233" s="2" t="n">
        <v>232</v>
      </c>
      <c r="B233" s="2" t="s">
        <v>418</v>
      </c>
      <c r="C233" s="2" t="s">
        <v>68</v>
      </c>
      <c r="D233" s="2" t="s">
        <v>419</v>
      </c>
      <c r="E233" s="2" t="s">
        <v>317</v>
      </c>
      <c r="F233" s="2" t="s">
        <v>85</v>
      </c>
    </row>
    <row r="234" customFormat="false" ht="15" hidden="false" customHeight="false" outlineLevel="0" collapsed="false">
      <c r="A234" s="2" t="n">
        <v>233</v>
      </c>
      <c r="B234" s="2" t="s">
        <v>420</v>
      </c>
      <c r="C234" s="2" t="s">
        <v>68</v>
      </c>
      <c r="D234" s="2" t="s">
        <v>421</v>
      </c>
      <c r="E234" s="2" t="s">
        <v>317</v>
      </c>
      <c r="F234" s="2" t="s">
        <v>420</v>
      </c>
    </row>
    <row r="235" customFormat="false" ht="15" hidden="false" customHeight="false" outlineLevel="0" collapsed="false">
      <c r="A235" s="2" t="n">
        <v>234</v>
      </c>
      <c r="B235" s="2" t="s">
        <v>422</v>
      </c>
      <c r="C235" s="2" t="s">
        <v>68</v>
      </c>
      <c r="D235" s="2" t="s">
        <v>423</v>
      </c>
      <c r="E235" s="2" t="s">
        <v>317</v>
      </c>
      <c r="F235" s="2" t="s">
        <v>203</v>
      </c>
    </row>
    <row r="236" customFormat="false" ht="15" hidden="false" customHeight="false" outlineLevel="0" collapsed="false">
      <c r="A236" s="2" t="n">
        <v>235</v>
      </c>
      <c r="B236" s="2" t="s">
        <v>424</v>
      </c>
      <c r="C236" s="2" t="s">
        <v>68</v>
      </c>
      <c r="D236" s="2" t="s">
        <v>425</v>
      </c>
      <c r="E236" s="2" t="s">
        <v>317</v>
      </c>
      <c r="F236" s="2" t="s">
        <v>90</v>
      </c>
    </row>
    <row r="237" customFormat="false" ht="15" hidden="false" customHeight="false" outlineLevel="0" collapsed="false">
      <c r="A237" s="2" t="n">
        <v>236</v>
      </c>
      <c r="B237" s="2" t="s">
        <v>426</v>
      </c>
      <c r="C237" s="2" t="s">
        <v>68</v>
      </c>
      <c r="D237" s="2" t="s">
        <v>427</v>
      </c>
      <c r="E237" s="2" t="s">
        <v>317</v>
      </c>
      <c r="F237" s="2" t="s">
        <v>100</v>
      </c>
    </row>
    <row r="238" customFormat="false" ht="15" hidden="false" customHeight="false" outlineLevel="0" collapsed="false">
      <c r="A238" s="2" t="n">
        <v>237</v>
      </c>
      <c r="B238" s="2" t="s">
        <v>428</v>
      </c>
      <c r="C238" s="2" t="s">
        <v>68</v>
      </c>
      <c r="D238" s="2" t="s">
        <v>429</v>
      </c>
      <c r="E238" s="2" t="s">
        <v>317</v>
      </c>
      <c r="F238" s="2" t="s">
        <v>97</v>
      </c>
    </row>
    <row r="239" customFormat="false" ht="15" hidden="false" customHeight="false" outlineLevel="0" collapsed="false">
      <c r="A239" s="2" t="n">
        <v>238</v>
      </c>
      <c r="B239" s="2" t="s">
        <v>430</v>
      </c>
      <c r="C239" s="2" t="s">
        <v>68</v>
      </c>
      <c r="D239" s="2" t="s">
        <v>431</v>
      </c>
      <c r="E239" s="2" t="s">
        <v>317</v>
      </c>
      <c r="F239" s="2" t="s">
        <v>116</v>
      </c>
    </row>
    <row r="240" customFormat="false" ht="15" hidden="false" customHeight="false" outlineLevel="0" collapsed="false">
      <c r="A240" s="2" t="n">
        <v>239</v>
      </c>
      <c r="B240" s="2" t="s">
        <v>432</v>
      </c>
      <c r="C240" s="2" t="s">
        <v>68</v>
      </c>
      <c r="D240" s="2" t="s">
        <v>433</v>
      </c>
      <c r="E240" s="2" t="s">
        <v>317</v>
      </c>
      <c r="F240" s="2" t="s">
        <v>432</v>
      </c>
    </row>
    <row r="241" customFormat="false" ht="15" hidden="false" customHeight="false" outlineLevel="0" collapsed="false">
      <c r="A241" s="2" t="n">
        <v>240</v>
      </c>
      <c r="B241" s="2" t="s">
        <v>434</v>
      </c>
      <c r="C241" s="2" t="s">
        <v>68</v>
      </c>
      <c r="D241" s="2" t="s">
        <v>435</v>
      </c>
      <c r="E241" s="2" t="s">
        <v>317</v>
      </c>
      <c r="F241" s="2" t="s">
        <v>208</v>
      </c>
    </row>
    <row r="242" customFormat="false" ht="15" hidden="false" customHeight="false" outlineLevel="0" collapsed="false">
      <c r="A242" s="2" t="n">
        <v>241</v>
      </c>
      <c r="B242" s="2" t="s">
        <v>436</v>
      </c>
      <c r="C242" s="2" t="s">
        <v>68</v>
      </c>
      <c r="D242" s="2" t="s">
        <v>437</v>
      </c>
      <c r="E242" s="2" t="s">
        <v>317</v>
      </c>
      <c r="F242" s="2" t="s">
        <v>208</v>
      </c>
    </row>
    <row r="243" customFormat="false" ht="15" hidden="false" customHeight="false" outlineLevel="0" collapsed="false">
      <c r="A243" s="2" t="n">
        <v>242</v>
      </c>
      <c r="B243" s="2" t="s">
        <v>438</v>
      </c>
      <c r="C243" s="2" t="s">
        <v>68</v>
      </c>
      <c r="D243" s="2" t="s">
        <v>439</v>
      </c>
      <c r="E243" s="2" t="s">
        <v>317</v>
      </c>
      <c r="F243" s="2" t="s">
        <v>440</v>
      </c>
    </row>
    <row r="244" customFormat="false" ht="15" hidden="false" customHeight="false" outlineLevel="0" collapsed="false">
      <c r="A244" s="2" t="n">
        <v>243</v>
      </c>
      <c r="B244" s="2" t="s">
        <v>103</v>
      </c>
      <c r="C244" s="2" t="s">
        <v>68</v>
      </c>
      <c r="D244" s="2" t="s">
        <v>441</v>
      </c>
      <c r="E244" s="2" t="s">
        <v>317</v>
      </c>
      <c r="F244" s="2" t="s">
        <v>103</v>
      </c>
    </row>
    <row r="245" customFormat="false" ht="15" hidden="false" customHeight="false" outlineLevel="0" collapsed="false">
      <c r="A245" s="2" t="n">
        <v>244</v>
      </c>
      <c r="B245" s="2" t="s">
        <v>334</v>
      </c>
      <c r="C245" s="2" t="s">
        <v>68</v>
      </c>
      <c r="D245" s="2" t="s">
        <v>442</v>
      </c>
      <c r="E245" s="2" t="s">
        <v>317</v>
      </c>
      <c r="F245" s="2" t="s">
        <v>443</v>
      </c>
    </row>
    <row r="246" customFormat="false" ht="15" hidden="false" customHeight="false" outlineLevel="0" collapsed="false">
      <c r="A246" s="2" t="n">
        <v>245</v>
      </c>
      <c r="B246" s="2" t="s">
        <v>444</v>
      </c>
      <c r="C246" s="2" t="s">
        <v>68</v>
      </c>
      <c r="D246" s="2" t="s">
        <v>445</v>
      </c>
      <c r="E246" s="2" t="s">
        <v>317</v>
      </c>
      <c r="F246" s="2" t="s">
        <v>127</v>
      </c>
    </row>
    <row r="247" customFormat="false" ht="15" hidden="false" customHeight="false" outlineLevel="0" collapsed="false">
      <c r="A247" s="2" t="n">
        <v>246</v>
      </c>
      <c r="B247" s="2" t="s">
        <v>446</v>
      </c>
      <c r="C247" s="2" t="s">
        <v>68</v>
      </c>
      <c r="D247" s="2" t="s">
        <v>447</v>
      </c>
      <c r="E247" s="2" t="s">
        <v>317</v>
      </c>
      <c r="F247" s="2" t="s">
        <v>446</v>
      </c>
    </row>
    <row r="248" customFormat="false" ht="15" hidden="false" customHeight="false" outlineLevel="0" collapsed="false">
      <c r="A248" s="2" t="n">
        <v>247</v>
      </c>
      <c r="B248" s="2" t="s">
        <v>448</v>
      </c>
      <c r="C248" s="2" t="s">
        <v>68</v>
      </c>
      <c r="D248" s="2" t="s">
        <v>449</v>
      </c>
      <c r="E248" s="2" t="s">
        <v>317</v>
      </c>
      <c r="F248" s="2" t="s">
        <v>450</v>
      </c>
    </row>
    <row r="249" customFormat="false" ht="15" hidden="false" customHeight="false" outlineLevel="0" collapsed="false">
      <c r="A249" s="2" t="n">
        <v>248</v>
      </c>
      <c r="B249" s="2" t="s">
        <v>451</v>
      </c>
      <c r="C249" s="2" t="s">
        <v>68</v>
      </c>
      <c r="D249" s="2" t="s">
        <v>452</v>
      </c>
      <c r="E249" s="2" t="s">
        <v>317</v>
      </c>
      <c r="F249" s="2" t="s">
        <v>451</v>
      </c>
    </row>
    <row r="250" customFormat="false" ht="15" hidden="false" customHeight="false" outlineLevel="0" collapsed="false">
      <c r="A250" s="2" t="n">
        <v>249</v>
      </c>
      <c r="B250" s="2" t="s">
        <v>453</v>
      </c>
      <c r="C250" s="2" t="s">
        <v>68</v>
      </c>
      <c r="D250" s="2" t="s">
        <v>454</v>
      </c>
      <c r="E250" s="2" t="s">
        <v>317</v>
      </c>
      <c r="F250" s="2" t="s">
        <v>229</v>
      </c>
    </row>
    <row r="251" customFormat="false" ht="15" hidden="false" customHeight="false" outlineLevel="0" collapsed="false">
      <c r="A251" s="2" t="n">
        <v>250</v>
      </c>
      <c r="B251" s="2" t="s">
        <v>455</v>
      </c>
      <c r="C251" s="2" t="s">
        <v>68</v>
      </c>
      <c r="D251" s="2" t="s">
        <v>456</v>
      </c>
      <c r="E251" s="2" t="s">
        <v>317</v>
      </c>
      <c r="F251" s="2" t="s">
        <v>455</v>
      </c>
    </row>
    <row r="252" customFormat="false" ht="15" hidden="false" customHeight="false" outlineLevel="0" collapsed="false">
      <c r="A252" s="2" t="n">
        <v>251</v>
      </c>
      <c r="B252" s="2" t="s">
        <v>457</v>
      </c>
      <c r="C252" s="2" t="s">
        <v>68</v>
      </c>
      <c r="D252" s="2" t="s">
        <v>352</v>
      </c>
      <c r="E252" s="2" t="s">
        <v>317</v>
      </c>
      <c r="F252" s="2" t="s">
        <v>458</v>
      </c>
    </row>
    <row r="253" customFormat="false" ht="15" hidden="false" customHeight="false" outlineLevel="0" collapsed="false">
      <c r="A253" s="2" t="n">
        <v>252</v>
      </c>
      <c r="B253" s="2" t="s">
        <v>459</v>
      </c>
      <c r="C253" s="2" t="s">
        <v>68</v>
      </c>
      <c r="D253" s="2" t="s">
        <v>460</v>
      </c>
      <c r="E253" s="2" t="s">
        <v>317</v>
      </c>
      <c r="F253" s="2" t="s">
        <v>459</v>
      </c>
    </row>
    <row r="254" customFormat="false" ht="15" hidden="false" customHeight="false" outlineLevel="0" collapsed="false">
      <c r="A254" s="2" t="n">
        <v>253</v>
      </c>
      <c r="B254" s="2" t="s">
        <v>461</v>
      </c>
      <c r="C254" s="2" t="s">
        <v>68</v>
      </c>
      <c r="D254" s="2" t="s">
        <v>462</v>
      </c>
      <c r="E254" s="2" t="s">
        <v>317</v>
      </c>
      <c r="F254" s="2" t="s">
        <v>461</v>
      </c>
    </row>
    <row r="255" customFormat="false" ht="15" hidden="false" customHeight="false" outlineLevel="0" collapsed="false">
      <c r="A255" s="2" t="n">
        <v>254</v>
      </c>
      <c r="B255" s="2" t="s">
        <v>463</v>
      </c>
      <c r="C255" s="2" t="s">
        <v>68</v>
      </c>
      <c r="D255" s="2" t="s">
        <v>464</v>
      </c>
      <c r="E255" s="2" t="s">
        <v>317</v>
      </c>
      <c r="F255" s="2" t="s">
        <v>463</v>
      </c>
    </row>
    <row r="256" customFormat="false" ht="15" hidden="false" customHeight="false" outlineLevel="0" collapsed="false">
      <c r="A256" s="2" t="n">
        <v>255</v>
      </c>
      <c r="B256" s="2" t="s">
        <v>465</v>
      </c>
      <c r="C256" s="2" t="s">
        <v>68</v>
      </c>
      <c r="D256" s="2" t="s">
        <v>466</v>
      </c>
      <c r="E256" s="2" t="s">
        <v>317</v>
      </c>
      <c r="F256" s="2" t="s">
        <v>465</v>
      </c>
    </row>
    <row r="257" customFormat="false" ht="15" hidden="false" customHeight="false" outlineLevel="0" collapsed="false">
      <c r="A257" s="2" t="n">
        <v>256</v>
      </c>
      <c r="B257" s="2" t="s">
        <v>467</v>
      </c>
      <c r="C257" s="2" t="s">
        <v>68</v>
      </c>
      <c r="D257" s="2" t="s">
        <v>468</v>
      </c>
      <c r="E257" s="2" t="s">
        <v>317</v>
      </c>
      <c r="F257" s="2" t="s">
        <v>305</v>
      </c>
    </row>
    <row r="258" customFormat="false" ht="15" hidden="false" customHeight="false" outlineLevel="0" collapsed="false">
      <c r="A258" s="2" t="n">
        <v>257</v>
      </c>
      <c r="B258" s="2" t="s">
        <v>469</v>
      </c>
      <c r="C258" s="2" t="s">
        <v>68</v>
      </c>
      <c r="D258" s="2" t="s">
        <v>470</v>
      </c>
      <c r="E258" s="2" t="s">
        <v>317</v>
      </c>
      <c r="F258" s="2" t="s">
        <v>141</v>
      </c>
    </row>
    <row r="259" customFormat="false" ht="15" hidden="false" customHeight="false" outlineLevel="0" collapsed="false">
      <c r="A259" s="2" t="n">
        <v>258</v>
      </c>
      <c r="B259" s="2" t="s">
        <v>471</v>
      </c>
      <c r="C259" s="2" t="s">
        <v>68</v>
      </c>
      <c r="D259" s="2" t="s">
        <v>472</v>
      </c>
      <c r="E259" s="2" t="s">
        <v>317</v>
      </c>
      <c r="F259" s="2" t="s">
        <v>144</v>
      </c>
    </row>
    <row r="260" customFormat="false" ht="15" hidden="false" customHeight="false" outlineLevel="0" collapsed="false">
      <c r="A260" s="2" t="n">
        <v>259</v>
      </c>
      <c r="B260" s="2" t="s">
        <v>473</v>
      </c>
      <c r="C260" s="2" t="s">
        <v>68</v>
      </c>
      <c r="D260" s="2" t="s">
        <v>474</v>
      </c>
      <c r="E260" s="2" t="s">
        <v>317</v>
      </c>
      <c r="F260" s="2" t="s">
        <v>475</v>
      </c>
    </row>
    <row r="261" customFormat="false" ht="15" hidden="false" customHeight="false" outlineLevel="0" collapsed="false">
      <c r="A261" s="2" t="n">
        <v>260</v>
      </c>
      <c r="B261" s="2" t="s">
        <v>476</v>
      </c>
      <c r="C261" s="2" t="s">
        <v>68</v>
      </c>
      <c r="D261" s="2" t="s">
        <v>477</v>
      </c>
      <c r="E261" s="2" t="s">
        <v>317</v>
      </c>
      <c r="F261" s="2" t="s">
        <v>305</v>
      </c>
    </row>
    <row r="262" customFormat="false" ht="15" hidden="false" customHeight="false" outlineLevel="0" collapsed="false">
      <c r="A262" s="2" t="n">
        <v>261</v>
      </c>
      <c r="B262" s="2" t="s">
        <v>478</v>
      </c>
      <c r="C262" s="2" t="s">
        <v>68</v>
      </c>
      <c r="D262" s="2" t="s">
        <v>307</v>
      </c>
      <c r="E262" s="2" t="s">
        <v>317</v>
      </c>
      <c r="F262" s="2" t="s">
        <v>133</v>
      </c>
    </row>
    <row r="263" customFormat="false" ht="15" hidden="false" customHeight="false" outlineLevel="0" collapsed="false">
      <c r="A263" s="2" t="n">
        <v>262</v>
      </c>
      <c r="B263" s="2" t="s">
        <v>479</v>
      </c>
      <c r="C263" s="2" t="s">
        <v>68</v>
      </c>
      <c r="D263" s="2" t="s">
        <v>480</v>
      </c>
      <c r="E263" s="2" t="s">
        <v>317</v>
      </c>
      <c r="F263" s="2" t="s">
        <v>481</v>
      </c>
    </row>
    <row r="264" customFormat="false" ht="15" hidden="false" customHeight="false" outlineLevel="0" collapsed="false">
      <c r="A264" s="2" t="n">
        <v>263</v>
      </c>
      <c r="B264" s="2" t="s">
        <v>482</v>
      </c>
      <c r="C264" s="2" t="s">
        <v>68</v>
      </c>
      <c r="D264" s="2" t="s">
        <v>483</v>
      </c>
      <c r="E264" s="2" t="s">
        <v>317</v>
      </c>
      <c r="F264" s="2" t="s">
        <v>482</v>
      </c>
    </row>
    <row r="265" customFormat="false" ht="15" hidden="false" customHeight="false" outlineLevel="0" collapsed="false">
      <c r="A265" s="2" t="n">
        <v>264</v>
      </c>
      <c r="B265" s="2" t="s">
        <v>484</v>
      </c>
      <c r="C265" s="2" t="s">
        <v>68</v>
      </c>
      <c r="D265" s="2" t="s">
        <v>485</v>
      </c>
      <c r="E265" s="2" t="s">
        <v>317</v>
      </c>
      <c r="F265" s="2" t="s">
        <v>138</v>
      </c>
    </row>
    <row r="266" customFormat="false" ht="15" hidden="false" customHeight="false" outlineLevel="0" collapsed="false">
      <c r="A266" s="2" t="n">
        <v>265</v>
      </c>
      <c r="B266" s="2" t="s">
        <v>486</v>
      </c>
      <c r="C266" s="2" t="s">
        <v>68</v>
      </c>
      <c r="D266" s="2" t="s">
        <v>487</v>
      </c>
      <c r="E266" s="2" t="s">
        <v>317</v>
      </c>
      <c r="F266" s="2" t="s">
        <v>235</v>
      </c>
    </row>
    <row r="267" customFormat="false" ht="15" hidden="false" customHeight="false" outlineLevel="0" collapsed="false">
      <c r="A267" s="2" t="n">
        <v>266</v>
      </c>
      <c r="B267" s="2" t="s">
        <v>488</v>
      </c>
      <c r="C267" s="2" t="s">
        <v>68</v>
      </c>
      <c r="D267" s="2" t="s">
        <v>489</v>
      </c>
      <c r="E267" s="2" t="s">
        <v>317</v>
      </c>
      <c r="F267" s="2" t="s">
        <v>488</v>
      </c>
    </row>
    <row r="268" customFormat="false" ht="15" hidden="false" customHeight="false" outlineLevel="0" collapsed="false">
      <c r="A268" s="2" t="n">
        <v>267</v>
      </c>
      <c r="B268" s="2" t="s">
        <v>232</v>
      </c>
      <c r="C268" s="2" t="s">
        <v>68</v>
      </c>
      <c r="D268" s="2" t="s">
        <v>490</v>
      </c>
      <c r="E268" s="2" t="s">
        <v>317</v>
      </c>
      <c r="F268" s="2" t="s">
        <v>232</v>
      </c>
    </row>
    <row r="269" customFormat="false" ht="15" hidden="false" customHeight="false" outlineLevel="0" collapsed="false">
      <c r="A269" s="2" t="n">
        <v>268</v>
      </c>
      <c r="B269" s="2" t="s">
        <v>491</v>
      </c>
      <c r="C269" s="2" t="s">
        <v>68</v>
      </c>
      <c r="D269" s="2" t="s">
        <v>492</v>
      </c>
      <c r="E269" s="2" t="s">
        <v>317</v>
      </c>
      <c r="F269" s="2" t="s">
        <v>221</v>
      </c>
    </row>
    <row r="270" customFormat="false" ht="15" hidden="false" customHeight="false" outlineLevel="0" collapsed="false">
      <c r="A270" s="2" t="n">
        <v>269</v>
      </c>
      <c r="B270" s="2" t="s">
        <v>216</v>
      </c>
      <c r="C270" s="2" t="s">
        <v>68</v>
      </c>
      <c r="D270" s="2" t="s">
        <v>493</v>
      </c>
      <c r="E270" s="2" t="s">
        <v>317</v>
      </c>
      <c r="F270" s="2" t="s">
        <v>218</v>
      </c>
    </row>
    <row r="271" customFormat="false" ht="15" hidden="false" customHeight="false" outlineLevel="0" collapsed="false">
      <c r="A271" s="2" t="n">
        <v>270</v>
      </c>
      <c r="B271" s="2" t="s">
        <v>494</v>
      </c>
      <c r="C271" s="2" t="s">
        <v>68</v>
      </c>
      <c r="D271" s="2" t="s">
        <v>495</v>
      </c>
      <c r="E271" s="2" t="s">
        <v>317</v>
      </c>
      <c r="F271" s="2" t="s">
        <v>494</v>
      </c>
    </row>
    <row r="272" customFormat="false" ht="15" hidden="false" customHeight="false" outlineLevel="0" collapsed="false">
      <c r="A272" s="2" t="n">
        <v>271</v>
      </c>
      <c r="B272" s="2" t="s">
        <v>496</v>
      </c>
      <c r="C272" s="2" t="s">
        <v>68</v>
      </c>
      <c r="D272" s="2" t="s">
        <v>497</v>
      </c>
      <c r="E272" s="2" t="s">
        <v>317</v>
      </c>
      <c r="F272" s="2" t="s">
        <v>85</v>
      </c>
    </row>
    <row r="273" customFormat="false" ht="15" hidden="false" customHeight="false" outlineLevel="0" collapsed="false">
      <c r="A273" s="2" t="n">
        <v>272</v>
      </c>
      <c r="B273" s="2" t="s">
        <v>101</v>
      </c>
      <c r="C273" s="2" t="s">
        <v>68</v>
      </c>
      <c r="D273" s="2" t="s">
        <v>498</v>
      </c>
      <c r="E273" s="2" t="s">
        <v>317</v>
      </c>
      <c r="F273" s="2" t="s">
        <v>101</v>
      </c>
    </row>
    <row r="274" customFormat="false" ht="15" hidden="false" customHeight="false" outlineLevel="0" collapsed="false">
      <c r="A274" s="2" t="n">
        <v>273</v>
      </c>
      <c r="B274" s="2" t="s">
        <v>86</v>
      </c>
      <c r="C274" s="2" t="s">
        <v>68</v>
      </c>
      <c r="D274" s="2" t="s">
        <v>499</v>
      </c>
      <c r="E274" s="2" t="s">
        <v>317</v>
      </c>
      <c r="F274" s="2" t="s">
        <v>86</v>
      </c>
    </row>
    <row r="275" customFormat="false" ht="15" hidden="false" customHeight="false" outlineLevel="0" collapsed="false">
      <c r="A275" s="2" t="n">
        <v>274</v>
      </c>
      <c r="B275" s="2" t="s">
        <v>500</v>
      </c>
      <c r="C275" s="2" t="s">
        <v>68</v>
      </c>
      <c r="D275" s="2" t="s">
        <v>501</v>
      </c>
      <c r="E275" s="2" t="s">
        <v>317</v>
      </c>
      <c r="F275" s="2" t="s">
        <v>116</v>
      </c>
    </row>
    <row r="276" customFormat="false" ht="15" hidden="false" customHeight="false" outlineLevel="0" collapsed="false">
      <c r="A276" s="2" t="n">
        <v>275</v>
      </c>
      <c r="B276" s="2" t="s">
        <v>502</v>
      </c>
      <c r="C276" s="2" t="s">
        <v>68</v>
      </c>
      <c r="D276" s="2" t="s">
        <v>503</v>
      </c>
      <c r="E276" s="2" t="s">
        <v>317</v>
      </c>
      <c r="F276" s="2" t="s">
        <v>502</v>
      </c>
    </row>
    <row r="277" customFormat="false" ht="15" hidden="false" customHeight="false" outlineLevel="0" collapsed="false">
      <c r="A277" s="2" t="n">
        <v>276</v>
      </c>
      <c r="B277" s="2" t="s">
        <v>504</v>
      </c>
      <c r="C277" s="2" t="s">
        <v>68</v>
      </c>
      <c r="D277" s="2" t="s">
        <v>505</v>
      </c>
      <c r="E277" s="2" t="s">
        <v>317</v>
      </c>
      <c r="F277" s="2" t="s">
        <v>504</v>
      </c>
    </row>
    <row r="278" customFormat="false" ht="15" hidden="false" customHeight="false" outlineLevel="0" collapsed="false">
      <c r="A278" s="2" t="n">
        <v>277</v>
      </c>
      <c r="B278" s="2" t="s">
        <v>506</v>
      </c>
      <c r="C278" s="2" t="s">
        <v>68</v>
      </c>
      <c r="D278" s="2" t="s">
        <v>507</v>
      </c>
      <c r="E278" s="2" t="s">
        <v>317</v>
      </c>
      <c r="F278" s="2" t="s">
        <v>506</v>
      </c>
    </row>
    <row r="279" customFormat="false" ht="15" hidden="false" customHeight="false" outlineLevel="0" collapsed="false">
      <c r="A279" s="2" t="n">
        <v>278</v>
      </c>
      <c r="B279" s="2" t="s">
        <v>508</v>
      </c>
      <c r="C279" s="2" t="s">
        <v>68</v>
      </c>
      <c r="D279" s="2" t="s">
        <v>509</v>
      </c>
      <c r="E279" s="2" t="s">
        <v>317</v>
      </c>
      <c r="F279" s="2" t="s">
        <v>508</v>
      </c>
    </row>
    <row r="280" customFormat="false" ht="15" hidden="false" customHeight="false" outlineLevel="0" collapsed="false">
      <c r="A280" s="2" t="n">
        <v>279</v>
      </c>
      <c r="B280" s="2" t="s">
        <v>510</v>
      </c>
      <c r="C280" s="2" t="s">
        <v>68</v>
      </c>
      <c r="D280" s="2" t="s">
        <v>511</v>
      </c>
      <c r="E280" s="2" t="s">
        <v>317</v>
      </c>
      <c r="F280" s="2" t="s">
        <v>148</v>
      </c>
    </row>
    <row r="281" customFormat="false" ht="15" hidden="false" customHeight="false" outlineLevel="0" collapsed="false">
      <c r="A281" s="2" t="n">
        <v>280</v>
      </c>
      <c r="B281" s="2" t="s">
        <v>222</v>
      </c>
      <c r="C281" s="2" t="s">
        <v>68</v>
      </c>
      <c r="D281" s="2" t="s">
        <v>512</v>
      </c>
      <c r="E281" s="2" t="s">
        <v>317</v>
      </c>
      <c r="F281" s="2" t="s">
        <v>224</v>
      </c>
    </row>
    <row r="282" customFormat="false" ht="15" hidden="false" customHeight="false" outlineLevel="0" collapsed="false">
      <c r="A282" s="2" t="n">
        <v>281</v>
      </c>
      <c r="B282" s="2" t="s">
        <v>6</v>
      </c>
      <c r="C282" s="2" t="s">
        <v>7</v>
      </c>
      <c r="D282" s="2" t="s">
        <v>513</v>
      </c>
      <c r="E282" s="2" t="s">
        <v>514</v>
      </c>
      <c r="F282" s="2" t="s">
        <v>6</v>
      </c>
    </row>
    <row r="283" customFormat="false" ht="15" hidden="false" customHeight="false" outlineLevel="0" collapsed="false">
      <c r="A283" s="2" t="n">
        <v>282</v>
      </c>
      <c r="B283" s="2" t="s">
        <v>12</v>
      </c>
      <c r="C283" s="2" t="s">
        <v>7</v>
      </c>
      <c r="D283" s="2" t="s">
        <v>515</v>
      </c>
      <c r="E283" s="2" t="s">
        <v>514</v>
      </c>
      <c r="F283" s="2" t="s">
        <v>12</v>
      </c>
    </row>
    <row r="284" customFormat="false" ht="15" hidden="false" customHeight="false" outlineLevel="0" collapsed="false">
      <c r="A284" s="2" t="n">
        <v>283</v>
      </c>
      <c r="B284" s="2" t="s">
        <v>156</v>
      </c>
      <c r="C284" s="2" t="s">
        <v>7</v>
      </c>
      <c r="D284" s="2" t="s">
        <v>515</v>
      </c>
      <c r="E284" s="2" t="s">
        <v>514</v>
      </c>
      <c r="F284" s="2" t="s">
        <v>158</v>
      </c>
    </row>
    <row r="285" customFormat="false" ht="15" hidden="false" customHeight="false" outlineLevel="0" collapsed="false">
      <c r="A285" s="2" t="n">
        <v>284</v>
      </c>
      <c r="B285" s="2" t="s">
        <v>153</v>
      </c>
      <c r="C285" s="2" t="s">
        <v>7</v>
      </c>
      <c r="D285" s="2" t="s">
        <v>516</v>
      </c>
      <c r="E285" s="2" t="s">
        <v>514</v>
      </c>
      <c r="F285" s="2" t="s">
        <v>155</v>
      </c>
    </row>
    <row r="286" customFormat="false" ht="15" hidden="false" customHeight="false" outlineLevel="0" collapsed="false">
      <c r="A286" s="2" t="n">
        <v>285</v>
      </c>
      <c r="B286" s="2" t="s">
        <v>24</v>
      </c>
      <c r="C286" s="2" t="s">
        <v>7</v>
      </c>
      <c r="D286" s="2" t="s">
        <v>517</v>
      </c>
      <c r="E286" s="2" t="s">
        <v>514</v>
      </c>
      <c r="F286" s="2" t="s">
        <v>24</v>
      </c>
    </row>
    <row r="287" customFormat="false" ht="15" hidden="false" customHeight="false" outlineLevel="0" collapsed="false">
      <c r="A287" s="2" t="n">
        <v>286</v>
      </c>
      <c r="B287" s="2" t="s">
        <v>26</v>
      </c>
      <c r="C287" s="2" t="s">
        <v>7</v>
      </c>
      <c r="D287" s="2" t="s">
        <v>517</v>
      </c>
      <c r="E287" s="2" t="s">
        <v>514</v>
      </c>
      <c r="F287" s="2" t="s">
        <v>26</v>
      </c>
    </row>
    <row r="288" customFormat="false" ht="15" hidden="false" customHeight="false" outlineLevel="0" collapsed="false">
      <c r="A288" s="2" t="n">
        <v>287</v>
      </c>
      <c r="B288" s="2" t="s">
        <v>22</v>
      </c>
      <c r="C288" s="2" t="s">
        <v>7</v>
      </c>
      <c r="D288" s="2" t="s">
        <v>518</v>
      </c>
      <c r="E288" s="2" t="s">
        <v>514</v>
      </c>
      <c r="F288" s="2" t="s">
        <v>22</v>
      </c>
    </row>
    <row r="289" customFormat="false" ht="15" hidden="false" customHeight="false" outlineLevel="0" collapsed="false">
      <c r="A289" s="2" t="n">
        <v>288</v>
      </c>
      <c r="B289" s="2" t="s">
        <v>27</v>
      </c>
      <c r="C289" s="2" t="s">
        <v>7</v>
      </c>
      <c r="D289" s="2" t="s">
        <v>519</v>
      </c>
      <c r="E289" s="2" t="s">
        <v>514</v>
      </c>
      <c r="F289" s="2" t="s">
        <v>27</v>
      </c>
    </row>
    <row r="290" customFormat="false" ht="15" hidden="false" customHeight="false" outlineLevel="0" collapsed="false">
      <c r="A290" s="2" t="n">
        <v>289</v>
      </c>
      <c r="B290" s="2" t="s">
        <v>20</v>
      </c>
      <c r="C290" s="2" t="s">
        <v>7</v>
      </c>
      <c r="D290" s="2" t="s">
        <v>520</v>
      </c>
      <c r="E290" s="2" t="s">
        <v>514</v>
      </c>
      <c r="F290" s="2" t="s">
        <v>20</v>
      </c>
    </row>
    <row r="291" customFormat="false" ht="15" hidden="false" customHeight="false" outlineLevel="0" collapsed="false">
      <c r="A291" s="2" t="n">
        <v>290</v>
      </c>
      <c r="B291" s="2" t="s">
        <v>29</v>
      </c>
      <c r="C291" s="2" t="s">
        <v>7</v>
      </c>
      <c r="D291" s="2" t="s">
        <v>521</v>
      </c>
      <c r="E291" s="2" t="s">
        <v>514</v>
      </c>
      <c r="F291" s="2" t="s">
        <v>29</v>
      </c>
    </row>
    <row r="292" customFormat="false" ht="15" hidden="false" customHeight="false" outlineLevel="0" collapsed="false">
      <c r="A292" s="2" t="n">
        <v>291</v>
      </c>
      <c r="B292" s="2" t="s">
        <v>522</v>
      </c>
      <c r="C292" s="2" t="s">
        <v>7</v>
      </c>
      <c r="D292" s="2" t="s">
        <v>523</v>
      </c>
      <c r="E292" s="2" t="s">
        <v>514</v>
      </c>
      <c r="F292" s="2" t="s">
        <v>522</v>
      </c>
    </row>
    <row r="293" customFormat="false" ht="15" hidden="false" customHeight="false" outlineLevel="0" collapsed="false">
      <c r="A293" s="2" t="n">
        <v>292</v>
      </c>
      <c r="B293" s="2" t="s">
        <v>40</v>
      </c>
      <c r="C293" s="2" t="s">
        <v>7</v>
      </c>
      <c r="D293" s="2" t="s">
        <v>524</v>
      </c>
      <c r="E293" s="2" t="s">
        <v>514</v>
      </c>
      <c r="F293" s="2" t="s">
        <v>40</v>
      </c>
    </row>
    <row r="294" customFormat="false" ht="15" hidden="false" customHeight="false" outlineLevel="0" collapsed="false">
      <c r="A294" s="2" t="n">
        <v>293</v>
      </c>
      <c r="B294" s="2" t="s">
        <v>60</v>
      </c>
      <c r="C294" s="2" t="s">
        <v>7</v>
      </c>
      <c r="D294" s="2" t="s">
        <v>524</v>
      </c>
      <c r="E294" s="2" t="s">
        <v>514</v>
      </c>
      <c r="F294" s="2" t="s">
        <v>60</v>
      </c>
    </row>
    <row r="295" customFormat="false" ht="15" hidden="false" customHeight="false" outlineLevel="0" collapsed="false">
      <c r="A295" s="2" t="n">
        <v>294</v>
      </c>
      <c r="B295" s="2" t="s">
        <v>62</v>
      </c>
      <c r="C295" s="2" t="s">
        <v>7</v>
      </c>
      <c r="D295" s="2" t="s">
        <v>524</v>
      </c>
      <c r="E295" s="2" t="s">
        <v>514</v>
      </c>
      <c r="F295" s="2" t="s">
        <v>62</v>
      </c>
    </row>
    <row r="296" customFormat="false" ht="15" hidden="false" customHeight="false" outlineLevel="0" collapsed="false">
      <c r="A296" s="2" t="n">
        <v>295</v>
      </c>
      <c r="B296" s="2" t="s">
        <v>55</v>
      </c>
      <c r="C296" s="2" t="s">
        <v>7</v>
      </c>
      <c r="D296" s="2" t="s">
        <v>525</v>
      </c>
      <c r="E296" s="2" t="s">
        <v>514</v>
      </c>
      <c r="F296" s="2" t="s">
        <v>55</v>
      </c>
    </row>
    <row r="297" customFormat="false" ht="15" hidden="false" customHeight="false" outlineLevel="0" collapsed="false">
      <c r="A297" s="2" t="n">
        <v>296</v>
      </c>
      <c r="B297" s="2" t="s">
        <v>57</v>
      </c>
      <c r="C297" s="2" t="s">
        <v>7</v>
      </c>
      <c r="D297" s="2" t="s">
        <v>525</v>
      </c>
      <c r="E297" s="2" t="s">
        <v>514</v>
      </c>
      <c r="F297" s="2" t="s">
        <v>57</v>
      </c>
    </row>
    <row r="298" customFormat="false" ht="15" hidden="false" customHeight="false" outlineLevel="0" collapsed="false">
      <c r="A298" s="2" t="n">
        <v>297</v>
      </c>
      <c r="B298" s="2" t="s">
        <v>364</v>
      </c>
      <c r="C298" s="2" t="s">
        <v>7</v>
      </c>
      <c r="D298" s="2" t="s">
        <v>526</v>
      </c>
      <c r="E298" s="2" t="s">
        <v>514</v>
      </c>
      <c r="F298" s="2" t="s">
        <v>364</v>
      </c>
    </row>
    <row r="299" customFormat="false" ht="15" hidden="false" customHeight="false" outlineLevel="0" collapsed="false">
      <c r="A299" s="2" t="n">
        <v>298</v>
      </c>
      <c r="B299" s="2" t="s">
        <v>527</v>
      </c>
      <c r="C299" s="2" t="s">
        <v>7</v>
      </c>
      <c r="D299" s="2" t="s">
        <v>528</v>
      </c>
      <c r="E299" s="2" t="s">
        <v>514</v>
      </c>
      <c r="F299" s="2" t="s">
        <v>374</v>
      </c>
    </row>
    <row r="300" customFormat="false" ht="15" hidden="false" customHeight="false" outlineLevel="0" collapsed="false">
      <c r="A300" s="2" t="n">
        <v>299</v>
      </c>
      <c r="B300" s="2" t="s">
        <v>529</v>
      </c>
      <c r="C300" s="2" t="s">
        <v>7</v>
      </c>
      <c r="D300" s="2" t="s">
        <v>530</v>
      </c>
      <c r="E300" s="2" t="s">
        <v>514</v>
      </c>
      <c r="F300" s="2" t="s">
        <v>529</v>
      </c>
    </row>
    <row r="301" customFormat="false" ht="15" hidden="false" customHeight="false" outlineLevel="0" collapsed="false">
      <c r="A301" s="2" t="n">
        <v>300</v>
      </c>
      <c r="B301" s="2" t="s">
        <v>531</v>
      </c>
      <c r="C301" s="2" t="s">
        <v>68</v>
      </c>
      <c r="D301" s="2" t="s">
        <v>532</v>
      </c>
      <c r="E301" s="2" t="s">
        <v>514</v>
      </c>
      <c r="F301" s="2" t="s">
        <v>70</v>
      </c>
    </row>
    <row r="302" customFormat="false" ht="15" hidden="false" customHeight="false" outlineLevel="0" collapsed="false">
      <c r="A302" s="2" t="n">
        <v>301</v>
      </c>
      <c r="B302" s="2" t="s">
        <v>533</v>
      </c>
      <c r="C302" s="2" t="s">
        <v>68</v>
      </c>
      <c r="D302" s="2" t="s">
        <v>197</v>
      </c>
      <c r="E302" s="2" t="s">
        <v>514</v>
      </c>
      <c r="F302" s="2" t="s">
        <v>82</v>
      </c>
    </row>
    <row r="303" customFormat="false" ht="15" hidden="false" customHeight="false" outlineLevel="0" collapsed="false">
      <c r="A303" s="2" t="n">
        <v>302</v>
      </c>
      <c r="B303" s="2" t="s">
        <v>534</v>
      </c>
      <c r="C303" s="2" t="s">
        <v>68</v>
      </c>
      <c r="D303" s="2" t="s">
        <v>535</v>
      </c>
      <c r="E303" s="2" t="s">
        <v>514</v>
      </c>
      <c r="F303" s="2" t="s">
        <v>208</v>
      </c>
    </row>
    <row r="304" customFormat="false" ht="15" hidden="false" customHeight="false" outlineLevel="0" collapsed="false">
      <c r="A304" s="2" t="n">
        <v>303</v>
      </c>
      <c r="B304" s="2" t="s">
        <v>114</v>
      </c>
      <c r="C304" s="2" t="s">
        <v>68</v>
      </c>
      <c r="D304" s="2" t="s">
        <v>536</v>
      </c>
      <c r="E304" s="2" t="s">
        <v>514</v>
      </c>
      <c r="F304" s="2" t="s">
        <v>116</v>
      </c>
    </row>
    <row r="305" customFormat="false" ht="15" hidden="false" customHeight="false" outlineLevel="0" collapsed="false">
      <c r="A305" s="2" t="n">
        <v>304</v>
      </c>
      <c r="B305" s="2" t="s">
        <v>537</v>
      </c>
      <c r="C305" s="2" t="s">
        <v>68</v>
      </c>
      <c r="D305" s="2" t="s">
        <v>538</v>
      </c>
      <c r="E305" s="2" t="s">
        <v>514</v>
      </c>
      <c r="F305" s="2" t="s">
        <v>107</v>
      </c>
    </row>
    <row r="306" customFormat="false" ht="15" hidden="false" customHeight="false" outlineLevel="0" collapsed="false">
      <c r="A306" s="2" t="n">
        <v>305</v>
      </c>
      <c r="B306" s="2" t="s">
        <v>539</v>
      </c>
      <c r="C306" s="2" t="s">
        <v>68</v>
      </c>
      <c r="D306" s="2" t="s">
        <v>540</v>
      </c>
      <c r="E306" s="2" t="s">
        <v>514</v>
      </c>
      <c r="F306" s="2" t="s">
        <v>100</v>
      </c>
    </row>
    <row r="307" customFormat="false" ht="15" hidden="false" customHeight="false" outlineLevel="0" collapsed="false">
      <c r="A307" s="2" t="n">
        <v>306</v>
      </c>
      <c r="B307" s="2" t="s">
        <v>541</v>
      </c>
      <c r="C307" s="2" t="s">
        <v>68</v>
      </c>
      <c r="D307" s="2" t="s">
        <v>542</v>
      </c>
      <c r="E307" s="2" t="s">
        <v>514</v>
      </c>
      <c r="F307" s="2" t="s">
        <v>124</v>
      </c>
    </row>
    <row r="308" customFormat="false" ht="15" hidden="false" customHeight="false" outlineLevel="0" collapsed="false">
      <c r="A308" s="2" t="n">
        <v>307</v>
      </c>
      <c r="B308" s="2" t="s">
        <v>543</v>
      </c>
      <c r="C308" s="2" t="s">
        <v>68</v>
      </c>
      <c r="D308" s="2" t="s">
        <v>544</v>
      </c>
      <c r="E308" s="2" t="s">
        <v>514</v>
      </c>
      <c r="F308" s="2" t="s">
        <v>85</v>
      </c>
    </row>
    <row r="309" customFormat="false" ht="15" hidden="false" customHeight="false" outlineLevel="0" collapsed="false">
      <c r="A309" s="2" t="n">
        <v>308</v>
      </c>
      <c r="B309" s="2" t="s">
        <v>524</v>
      </c>
      <c r="C309" s="2" t="s">
        <v>68</v>
      </c>
      <c r="D309" s="2" t="s">
        <v>545</v>
      </c>
      <c r="E309" s="2" t="s">
        <v>514</v>
      </c>
      <c r="F309" s="2" t="s">
        <v>127</v>
      </c>
    </row>
    <row r="310" customFormat="false" ht="15" hidden="false" customHeight="false" outlineLevel="0" collapsed="false">
      <c r="A310" s="2" t="n">
        <v>309</v>
      </c>
      <c r="B310" s="2" t="s">
        <v>546</v>
      </c>
      <c r="C310" s="2" t="s">
        <v>68</v>
      </c>
      <c r="D310" s="2" t="s">
        <v>547</v>
      </c>
      <c r="E310" s="2" t="s">
        <v>514</v>
      </c>
      <c r="F310" s="2" t="s">
        <v>141</v>
      </c>
    </row>
    <row r="311" customFormat="false" ht="15" hidden="false" customHeight="false" outlineLevel="0" collapsed="false">
      <c r="A311" s="2" t="n">
        <v>310</v>
      </c>
      <c r="B311" s="2" t="s">
        <v>548</v>
      </c>
      <c r="C311" s="2" t="s">
        <v>68</v>
      </c>
      <c r="D311" s="2" t="s">
        <v>549</v>
      </c>
      <c r="E311" s="2" t="s">
        <v>514</v>
      </c>
      <c r="F311" s="2" t="s">
        <v>305</v>
      </c>
    </row>
    <row r="312" customFormat="false" ht="15" hidden="false" customHeight="false" outlineLevel="0" collapsed="false">
      <c r="A312" s="2" t="n">
        <v>311</v>
      </c>
      <c r="B312" s="2" t="s">
        <v>550</v>
      </c>
      <c r="C312" s="2" t="s">
        <v>68</v>
      </c>
      <c r="D312" s="2" t="s">
        <v>551</v>
      </c>
      <c r="E312" s="2" t="s">
        <v>514</v>
      </c>
      <c r="F312" s="2" t="s">
        <v>238</v>
      </c>
    </row>
    <row r="313" customFormat="false" ht="15" hidden="false" customHeight="false" outlineLevel="0" collapsed="false">
      <c r="A313" s="2" t="n">
        <v>312</v>
      </c>
      <c r="B313" s="2" t="s">
        <v>552</v>
      </c>
      <c r="C313" s="2" t="s">
        <v>68</v>
      </c>
      <c r="D313" s="2" t="s">
        <v>553</v>
      </c>
      <c r="E313" s="2" t="s">
        <v>514</v>
      </c>
      <c r="F313" s="2" t="s">
        <v>133</v>
      </c>
    </row>
    <row r="314" customFormat="false" ht="15" hidden="false" customHeight="false" outlineLevel="0" collapsed="false">
      <c r="A314" s="2" t="n">
        <v>313</v>
      </c>
      <c r="B314" s="2" t="s">
        <v>481</v>
      </c>
      <c r="C314" s="2" t="s">
        <v>68</v>
      </c>
      <c r="D314" s="2" t="s">
        <v>554</v>
      </c>
      <c r="E314" s="2" t="s">
        <v>514</v>
      </c>
      <c r="F314" s="2" t="s">
        <v>481</v>
      </c>
    </row>
    <row r="315" customFormat="false" ht="15" hidden="false" customHeight="false" outlineLevel="0" collapsed="false">
      <c r="A315" s="2" t="n">
        <v>314</v>
      </c>
      <c r="B315" s="2" t="s">
        <v>103</v>
      </c>
      <c r="C315" s="2" t="s">
        <v>68</v>
      </c>
      <c r="D315" s="2" t="s">
        <v>555</v>
      </c>
      <c r="E315" s="2" t="s">
        <v>514</v>
      </c>
      <c r="F315" s="2" t="s">
        <v>103</v>
      </c>
    </row>
    <row r="316" customFormat="false" ht="15" hidden="false" customHeight="false" outlineLevel="0" collapsed="false">
      <c r="A316" s="2" t="n">
        <v>315</v>
      </c>
      <c r="B316" s="2" t="s">
        <v>556</v>
      </c>
      <c r="C316" s="2" t="s">
        <v>68</v>
      </c>
      <c r="D316" s="2" t="s">
        <v>555</v>
      </c>
      <c r="E316" s="2" t="s">
        <v>514</v>
      </c>
      <c r="F316" s="2" t="s">
        <v>556</v>
      </c>
    </row>
    <row r="317" customFormat="false" ht="15" hidden="false" customHeight="false" outlineLevel="0" collapsed="false">
      <c r="A317" s="2" t="n">
        <v>316</v>
      </c>
      <c r="B317" s="2" t="s">
        <v>557</v>
      </c>
      <c r="C317" s="2" t="s">
        <v>68</v>
      </c>
      <c r="D317" s="2" t="s">
        <v>555</v>
      </c>
      <c r="E317" s="2" t="s">
        <v>514</v>
      </c>
      <c r="F317" s="2" t="s">
        <v>443</v>
      </c>
    </row>
    <row r="318" customFormat="false" ht="15" hidden="false" customHeight="false" outlineLevel="0" collapsed="false">
      <c r="A318" s="2" t="n">
        <v>317</v>
      </c>
      <c r="B318" s="2" t="s">
        <v>558</v>
      </c>
      <c r="C318" s="2" t="s">
        <v>68</v>
      </c>
      <c r="D318" s="2" t="s">
        <v>559</v>
      </c>
      <c r="E318" s="2" t="s">
        <v>514</v>
      </c>
      <c r="F318" s="2" t="s">
        <v>242</v>
      </c>
    </row>
    <row r="319" customFormat="false" ht="15" hidden="false" customHeight="false" outlineLevel="0" collapsed="false">
      <c r="A319" s="2" t="n">
        <v>318</v>
      </c>
      <c r="B319" s="2" t="s">
        <v>560</v>
      </c>
      <c r="C319" s="2" t="s">
        <v>68</v>
      </c>
      <c r="D319" s="2" t="s">
        <v>561</v>
      </c>
      <c r="E319" s="2" t="s">
        <v>514</v>
      </c>
      <c r="F319" s="2" t="s">
        <v>238</v>
      </c>
    </row>
    <row r="320" customFormat="false" ht="15" hidden="false" customHeight="false" outlineLevel="0" collapsed="false">
      <c r="A320" s="2" t="n">
        <v>319</v>
      </c>
      <c r="B320" s="2" t="s">
        <v>562</v>
      </c>
      <c r="C320" s="2" t="s">
        <v>68</v>
      </c>
      <c r="D320" s="2" t="s">
        <v>563</v>
      </c>
      <c r="E320" s="2" t="s">
        <v>514</v>
      </c>
      <c r="F320" s="2" t="s">
        <v>238</v>
      </c>
    </row>
    <row r="321" customFormat="false" ht="15" hidden="false" customHeight="false" outlineLevel="0" collapsed="false">
      <c r="A321" s="2" t="n">
        <v>320</v>
      </c>
      <c r="B321" s="2" t="s">
        <v>6</v>
      </c>
      <c r="C321" s="2" t="s">
        <v>7</v>
      </c>
      <c r="D321" s="2" t="s">
        <v>564</v>
      </c>
      <c r="E321" s="2" t="s">
        <v>565</v>
      </c>
      <c r="F321" s="2" t="s">
        <v>6</v>
      </c>
    </row>
    <row r="322" customFormat="false" ht="15" hidden="false" customHeight="false" outlineLevel="0" collapsed="false">
      <c r="A322" s="2" t="n">
        <v>321</v>
      </c>
      <c r="B322" s="2" t="s">
        <v>12</v>
      </c>
      <c r="C322" s="2" t="s">
        <v>7</v>
      </c>
      <c r="D322" s="2" t="s">
        <v>566</v>
      </c>
      <c r="E322" s="2" t="s">
        <v>565</v>
      </c>
      <c r="F322" s="2" t="s">
        <v>12</v>
      </c>
    </row>
    <row r="323" customFormat="false" ht="15" hidden="false" customHeight="false" outlineLevel="0" collapsed="false">
      <c r="A323" s="2" t="n">
        <v>322</v>
      </c>
      <c r="B323" s="2" t="s">
        <v>27</v>
      </c>
      <c r="C323" s="2" t="s">
        <v>7</v>
      </c>
      <c r="D323" s="2" t="s">
        <v>567</v>
      </c>
      <c r="E323" s="2" t="s">
        <v>565</v>
      </c>
      <c r="F323" s="2" t="s">
        <v>27</v>
      </c>
    </row>
    <row r="324" customFormat="false" ht="15" hidden="false" customHeight="false" outlineLevel="0" collapsed="false">
      <c r="A324" s="2" t="n">
        <v>323</v>
      </c>
      <c r="B324" s="2" t="s">
        <v>22</v>
      </c>
      <c r="C324" s="2" t="s">
        <v>7</v>
      </c>
      <c r="D324" s="2" t="s">
        <v>568</v>
      </c>
      <c r="E324" s="2" t="s">
        <v>565</v>
      </c>
      <c r="F324" s="2" t="s">
        <v>22</v>
      </c>
    </row>
    <row r="325" customFormat="false" ht="15" hidden="false" customHeight="false" outlineLevel="0" collapsed="false">
      <c r="A325" s="2" t="n">
        <v>324</v>
      </c>
      <c r="B325" s="2" t="s">
        <v>24</v>
      </c>
      <c r="C325" s="2" t="s">
        <v>7</v>
      </c>
      <c r="D325" s="2" t="s">
        <v>569</v>
      </c>
      <c r="E325" s="2" t="s">
        <v>565</v>
      </c>
      <c r="F325" s="2" t="s">
        <v>24</v>
      </c>
    </row>
    <row r="326" customFormat="false" ht="15" hidden="false" customHeight="false" outlineLevel="0" collapsed="false">
      <c r="A326" s="2" t="n">
        <v>325</v>
      </c>
      <c r="B326" s="2" t="s">
        <v>26</v>
      </c>
      <c r="C326" s="2" t="s">
        <v>7</v>
      </c>
      <c r="D326" s="2" t="s">
        <v>569</v>
      </c>
      <c r="E326" s="2" t="s">
        <v>565</v>
      </c>
      <c r="F326" s="2" t="s">
        <v>26</v>
      </c>
    </row>
    <row r="327" customFormat="false" ht="15" hidden="false" customHeight="false" outlineLevel="0" collapsed="false">
      <c r="A327" s="2" t="n">
        <v>326</v>
      </c>
      <c r="B327" s="2" t="s">
        <v>16</v>
      </c>
      <c r="C327" s="2" t="s">
        <v>7</v>
      </c>
      <c r="D327" s="2" t="s">
        <v>570</v>
      </c>
      <c r="E327" s="2" t="s">
        <v>565</v>
      </c>
      <c r="F327" s="2" t="s">
        <v>16</v>
      </c>
    </row>
    <row r="328" customFormat="false" ht="15" hidden="false" customHeight="false" outlineLevel="0" collapsed="false">
      <c r="A328" s="2" t="n">
        <v>327</v>
      </c>
      <c r="B328" s="2" t="s">
        <v>20</v>
      </c>
      <c r="C328" s="2" t="s">
        <v>7</v>
      </c>
      <c r="D328" s="2" t="s">
        <v>571</v>
      </c>
      <c r="E328" s="2" t="s">
        <v>565</v>
      </c>
      <c r="F328" s="2" t="s">
        <v>20</v>
      </c>
    </row>
    <row r="329" customFormat="false" ht="15" hidden="false" customHeight="false" outlineLevel="0" collapsed="false">
      <c r="A329" s="2" t="n">
        <v>328</v>
      </c>
      <c r="B329" s="2" t="s">
        <v>18</v>
      </c>
      <c r="C329" s="2" t="s">
        <v>7</v>
      </c>
      <c r="D329" s="2" t="s">
        <v>572</v>
      </c>
      <c r="E329" s="2" t="s">
        <v>565</v>
      </c>
      <c r="F329" s="2" t="s">
        <v>18</v>
      </c>
    </row>
    <row r="330" customFormat="false" ht="15" hidden="false" customHeight="false" outlineLevel="0" collapsed="false">
      <c r="A330" s="2" t="n">
        <v>329</v>
      </c>
      <c r="B330" s="2" t="s">
        <v>40</v>
      </c>
      <c r="C330" s="2" t="s">
        <v>7</v>
      </c>
      <c r="D330" s="2" t="s">
        <v>573</v>
      </c>
      <c r="E330" s="2" t="s">
        <v>565</v>
      </c>
      <c r="F330" s="2" t="s">
        <v>40</v>
      </c>
    </row>
    <row r="331" customFormat="false" ht="15" hidden="false" customHeight="false" outlineLevel="0" collapsed="false">
      <c r="A331" s="2" t="n">
        <v>330</v>
      </c>
      <c r="B331" s="2" t="s">
        <v>55</v>
      </c>
      <c r="C331" s="2" t="s">
        <v>7</v>
      </c>
      <c r="D331" s="2" t="s">
        <v>574</v>
      </c>
      <c r="E331" s="2" t="s">
        <v>565</v>
      </c>
      <c r="F331" s="2" t="s">
        <v>55</v>
      </c>
    </row>
    <row r="332" customFormat="false" ht="15" hidden="false" customHeight="false" outlineLevel="0" collapsed="false">
      <c r="A332" s="2" t="n">
        <v>331</v>
      </c>
      <c r="B332" s="2" t="s">
        <v>57</v>
      </c>
      <c r="C332" s="2" t="s">
        <v>7</v>
      </c>
      <c r="D332" s="2" t="s">
        <v>574</v>
      </c>
      <c r="E332" s="2" t="s">
        <v>565</v>
      </c>
      <c r="F332" s="2" t="s">
        <v>57</v>
      </c>
    </row>
    <row r="333" customFormat="false" ht="15" hidden="false" customHeight="false" outlineLevel="0" collapsed="false">
      <c r="A333" s="2" t="n">
        <v>332</v>
      </c>
      <c r="B333" s="2" t="s">
        <v>575</v>
      </c>
      <c r="C333" s="2" t="s">
        <v>7</v>
      </c>
      <c r="D333" s="2" t="s">
        <v>576</v>
      </c>
      <c r="E333" s="2" t="s">
        <v>565</v>
      </c>
      <c r="F333" s="2" t="s">
        <v>575</v>
      </c>
    </row>
    <row r="334" customFormat="false" ht="15" hidden="false" customHeight="false" outlineLevel="0" collapsed="false">
      <c r="A334" s="2" t="n">
        <v>333</v>
      </c>
      <c r="B334" s="2" t="s">
        <v>62</v>
      </c>
      <c r="C334" s="2" t="s">
        <v>7</v>
      </c>
      <c r="D334" s="2" t="s">
        <v>577</v>
      </c>
      <c r="E334" s="2" t="s">
        <v>565</v>
      </c>
      <c r="F334" s="2" t="s">
        <v>62</v>
      </c>
    </row>
    <row r="335" customFormat="false" ht="15" hidden="false" customHeight="false" outlineLevel="0" collapsed="false">
      <c r="A335" s="2" t="n">
        <v>334</v>
      </c>
      <c r="B335" s="2" t="s">
        <v>58</v>
      </c>
      <c r="C335" s="2" t="s">
        <v>7</v>
      </c>
      <c r="D335" s="2" t="s">
        <v>577</v>
      </c>
      <c r="E335" s="2" t="s">
        <v>565</v>
      </c>
      <c r="F335" s="2" t="s">
        <v>58</v>
      </c>
    </row>
    <row r="336" customFormat="false" ht="15" hidden="false" customHeight="false" outlineLevel="0" collapsed="false">
      <c r="A336" s="2" t="n">
        <v>335</v>
      </c>
      <c r="B336" s="2" t="s">
        <v>60</v>
      </c>
      <c r="C336" s="2" t="s">
        <v>7</v>
      </c>
      <c r="D336" s="2" t="s">
        <v>577</v>
      </c>
      <c r="E336" s="2" t="s">
        <v>565</v>
      </c>
      <c r="F336" s="2" t="s">
        <v>60</v>
      </c>
    </row>
    <row r="337" customFormat="false" ht="15" hidden="false" customHeight="false" outlineLevel="0" collapsed="false">
      <c r="A337" s="2" t="n">
        <v>336</v>
      </c>
      <c r="B337" s="2" t="s">
        <v>61</v>
      </c>
      <c r="C337" s="2" t="s">
        <v>7</v>
      </c>
      <c r="D337" s="2" t="s">
        <v>577</v>
      </c>
      <c r="E337" s="2" t="s">
        <v>565</v>
      </c>
      <c r="F337" s="2" t="s">
        <v>61</v>
      </c>
    </row>
    <row r="338" customFormat="false" ht="15" hidden="false" customHeight="false" outlineLevel="0" collapsed="false">
      <c r="A338" s="2" t="n">
        <v>337</v>
      </c>
      <c r="B338" s="2" t="s">
        <v>578</v>
      </c>
      <c r="C338" s="2" t="s">
        <v>7</v>
      </c>
      <c r="D338" s="2" t="s">
        <v>579</v>
      </c>
      <c r="E338" s="2" t="s">
        <v>565</v>
      </c>
      <c r="F338" s="2" t="s">
        <v>578</v>
      </c>
    </row>
    <row r="339" customFormat="false" ht="15" hidden="false" customHeight="false" outlineLevel="0" collapsed="false">
      <c r="A339" s="2" t="n">
        <v>338</v>
      </c>
      <c r="B339" s="2" t="s">
        <v>82</v>
      </c>
      <c r="C339" s="2" t="s">
        <v>68</v>
      </c>
      <c r="D339" s="2" t="s">
        <v>197</v>
      </c>
      <c r="E339" s="2" t="s">
        <v>565</v>
      </c>
      <c r="F339" s="2" t="s">
        <v>82</v>
      </c>
    </row>
    <row r="340" customFormat="false" ht="15" hidden="false" customHeight="false" outlineLevel="0" collapsed="false">
      <c r="A340" s="2" t="n">
        <v>339</v>
      </c>
      <c r="B340" s="2" t="s">
        <v>580</v>
      </c>
      <c r="C340" s="2" t="s">
        <v>68</v>
      </c>
      <c r="D340" s="2" t="s">
        <v>581</v>
      </c>
      <c r="E340" s="2" t="s">
        <v>565</v>
      </c>
      <c r="F340" s="2" t="s">
        <v>70</v>
      </c>
    </row>
    <row r="341" customFormat="false" ht="15" hidden="false" customHeight="false" outlineLevel="0" collapsed="false">
      <c r="A341" s="2" t="n">
        <v>340</v>
      </c>
      <c r="B341" s="2" t="s">
        <v>114</v>
      </c>
      <c r="C341" s="2" t="s">
        <v>68</v>
      </c>
      <c r="D341" s="2" t="s">
        <v>582</v>
      </c>
      <c r="E341" s="2" t="s">
        <v>565</v>
      </c>
      <c r="F341" s="2" t="s">
        <v>116</v>
      </c>
    </row>
    <row r="342" customFormat="false" ht="15" hidden="false" customHeight="false" outlineLevel="0" collapsed="false">
      <c r="A342" s="2" t="n">
        <v>341</v>
      </c>
      <c r="B342" s="2" t="s">
        <v>583</v>
      </c>
      <c r="C342" s="2" t="s">
        <v>68</v>
      </c>
      <c r="D342" s="2" t="s">
        <v>584</v>
      </c>
      <c r="E342" s="2" t="s">
        <v>565</v>
      </c>
      <c r="F342" s="2" t="s">
        <v>107</v>
      </c>
    </row>
    <row r="343" customFormat="false" ht="15" hidden="false" customHeight="false" outlineLevel="0" collapsed="false">
      <c r="A343" s="2" t="n">
        <v>342</v>
      </c>
      <c r="B343" s="2" t="s">
        <v>585</v>
      </c>
      <c r="C343" s="2" t="s">
        <v>68</v>
      </c>
      <c r="D343" s="2" t="s">
        <v>586</v>
      </c>
      <c r="E343" s="2" t="s">
        <v>565</v>
      </c>
      <c r="F343" s="2" t="s">
        <v>208</v>
      </c>
    </row>
    <row r="344" customFormat="false" ht="15" hidden="false" customHeight="false" outlineLevel="0" collapsed="false">
      <c r="A344" s="2" t="n">
        <v>343</v>
      </c>
      <c r="B344" s="2" t="s">
        <v>211</v>
      </c>
      <c r="C344" s="2" t="s">
        <v>68</v>
      </c>
      <c r="D344" s="2" t="s">
        <v>587</v>
      </c>
      <c r="E344" s="2" t="s">
        <v>565</v>
      </c>
      <c r="F344" s="2" t="s">
        <v>90</v>
      </c>
    </row>
    <row r="345" customFormat="false" ht="15" hidden="false" customHeight="false" outlineLevel="0" collapsed="false">
      <c r="A345" s="2" t="n">
        <v>344</v>
      </c>
      <c r="B345" s="2" t="s">
        <v>588</v>
      </c>
      <c r="C345" s="2" t="s">
        <v>68</v>
      </c>
      <c r="D345" s="2" t="s">
        <v>589</v>
      </c>
      <c r="E345" s="2" t="s">
        <v>565</v>
      </c>
      <c r="F345" s="2" t="s">
        <v>242</v>
      </c>
    </row>
    <row r="346" customFormat="false" ht="15" hidden="false" customHeight="false" outlineLevel="0" collapsed="false">
      <c r="A346" s="2" t="n">
        <v>345</v>
      </c>
      <c r="B346" s="2" t="s">
        <v>590</v>
      </c>
      <c r="C346" s="2" t="s">
        <v>68</v>
      </c>
      <c r="D346" s="2" t="s">
        <v>591</v>
      </c>
      <c r="E346" s="2" t="s">
        <v>565</v>
      </c>
      <c r="F346" s="2" t="s">
        <v>97</v>
      </c>
    </row>
    <row r="347" customFormat="false" ht="15" hidden="false" customHeight="false" outlineLevel="0" collapsed="false">
      <c r="A347" s="2" t="n">
        <v>346</v>
      </c>
      <c r="B347" s="2" t="s">
        <v>592</v>
      </c>
      <c r="C347" s="2" t="s">
        <v>68</v>
      </c>
      <c r="D347" s="2" t="s">
        <v>593</v>
      </c>
      <c r="E347" s="2" t="s">
        <v>565</v>
      </c>
      <c r="F347" s="2" t="s">
        <v>127</v>
      </c>
    </row>
    <row r="348" customFormat="false" ht="15" hidden="false" customHeight="false" outlineLevel="0" collapsed="false">
      <c r="A348" s="2" t="n">
        <v>347</v>
      </c>
      <c r="B348" s="2" t="s">
        <v>594</v>
      </c>
      <c r="C348" s="2" t="s">
        <v>68</v>
      </c>
      <c r="D348" s="2" t="s">
        <v>595</v>
      </c>
      <c r="E348" s="2" t="s">
        <v>565</v>
      </c>
      <c r="F348" s="2" t="s">
        <v>141</v>
      </c>
    </row>
    <row r="349" customFormat="false" ht="15" hidden="false" customHeight="false" outlineLevel="0" collapsed="false">
      <c r="A349" s="2" t="n">
        <v>348</v>
      </c>
      <c r="B349" s="2" t="s">
        <v>596</v>
      </c>
      <c r="C349" s="2" t="s">
        <v>68</v>
      </c>
      <c r="D349" s="2" t="s">
        <v>597</v>
      </c>
      <c r="E349" s="2" t="s">
        <v>565</v>
      </c>
      <c r="F349" s="2" t="s">
        <v>133</v>
      </c>
    </row>
    <row r="350" customFormat="false" ht="15" hidden="false" customHeight="false" outlineLevel="0" collapsed="false">
      <c r="A350" s="2" t="n">
        <v>349</v>
      </c>
      <c r="B350" s="2" t="s">
        <v>598</v>
      </c>
      <c r="C350" s="2" t="s">
        <v>68</v>
      </c>
      <c r="D350" s="2" t="s">
        <v>599</v>
      </c>
      <c r="E350" s="2" t="s">
        <v>565</v>
      </c>
      <c r="F350" s="2" t="s">
        <v>76</v>
      </c>
    </row>
    <row r="351" customFormat="false" ht="15" hidden="false" customHeight="false" outlineLevel="0" collapsed="false">
      <c r="A351" s="2" t="n">
        <v>350</v>
      </c>
      <c r="B351" s="2" t="s">
        <v>600</v>
      </c>
      <c r="C351" s="2" t="s">
        <v>68</v>
      </c>
      <c r="D351" s="2" t="s">
        <v>601</v>
      </c>
      <c r="E351" s="2" t="s">
        <v>565</v>
      </c>
      <c r="F351" s="2" t="s">
        <v>85</v>
      </c>
    </row>
    <row r="352" customFormat="false" ht="15" hidden="false" customHeight="false" outlineLevel="0" collapsed="false">
      <c r="A352" s="2" t="n">
        <v>351</v>
      </c>
      <c r="B352" s="2" t="s">
        <v>602</v>
      </c>
      <c r="C352" s="2" t="s">
        <v>68</v>
      </c>
      <c r="D352" s="2" t="s">
        <v>603</v>
      </c>
      <c r="E352" s="2" t="s">
        <v>565</v>
      </c>
      <c r="F352" s="2" t="s">
        <v>602</v>
      </c>
    </row>
    <row r="353" customFormat="false" ht="15" hidden="false" customHeight="false" outlineLevel="0" collapsed="false">
      <c r="A353" s="2" t="n">
        <v>352</v>
      </c>
      <c r="B353" s="2" t="s">
        <v>604</v>
      </c>
      <c r="C353" s="2" t="s">
        <v>68</v>
      </c>
      <c r="D353" s="2" t="s">
        <v>605</v>
      </c>
      <c r="E353" s="2" t="s">
        <v>565</v>
      </c>
      <c r="F353" s="2" t="s">
        <v>606</v>
      </c>
    </row>
    <row r="354" customFormat="false" ht="15" hidden="false" customHeight="false" outlineLevel="0" collapsed="false">
      <c r="A354" s="2" t="n">
        <v>353</v>
      </c>
      <c r="B354" s="2" t="s">
        <v>6</v>
      </c>
      <c r="C354" s="2" t="s">
        <v>7</v>
      </c>
      <c r="D354" s="2" t="s">
        <v>607</v>
      </c>
      <c r="E354" s="2" t="s">
        <v>608</v>
      </c>
      <c r="F354" s="2" t="s">
        <v>6</v>
      </c>
    </row>
    <row r="355" customFormat="false" ht="15" hidden="false" customHeight="false" outlineLevel="0" collapsed="false">
      <c r="A355" s="2" t="n">
        <v>354</v>
      </c>
      <c r="B355" s="2" t="s">
        <v>12</v>
      </c>
      <c r="C355" s="2" t="s">
        <v>7</v>
      </c>
      <c r="D355" s="2" t="s">
        <v>609</v>
      </c>
      <c r="E355" s="2" t="s">
        <v>608</v>
      </c>
      <c r="F355" s="2" t="s">
        <v>12</v>
      </c>
    </row>
    <row r="356" customFormat="false" ht="15" hidden="false" customHeight="false" outlineLevel="0" collapsed="false">
      <c r="A356" s="2" t="n">
        <v>355</v>
      </c>
      <c r="B356" s="2" t="s">
        <v>153</v>
      </c>
      <c r="C356" s="2" t="s">
        <v>7</v>
      </c>
      <c r="D356" s="2" t="s">
        <v>610</v>
      </c>
      <c r="E356" s="2" t="s">
        <v>608</v>
      </c>
      <c r="F356" s="2" t="s">
        <v>155</v>
      </c>
    </row>
    <row r="357" customFormat="false" ht="15" hidden="false" customHeight="false" outlineLevel="0" collapsed="false">
      <c r="A357" s="2" t="n">
        <v>356</v>
      </c>
      <c r="B357" s="2" t="s">
        <v>16</v>
      </c>
      <c r="C357" s="2" t="s">
        <v>7</v>
      </c>
      <c r="D357" s="2" t="s">
        <v>161</v>
      </c>
      <c r="E357" s="2" t="s">
        <v>608</v>
      </c>
      <c r="F357" s="2" t="s">
        <v>16</v>
      </c>
    </row>
    <row r="358" customFormat="false" ht="15" hidden="false" customHeight="false" outlineLevel="0" collapsed="false">
      <c r="A358" s="2" t="n">
        <v>357</v>
      </c>
      <c r="B358" s="2" t="s">
        <v>20</v>
      </c>
      <c r="C358" s="2" t="s">
        <v>7</v>
      </c>
      <c r="D358" s="2" t="s">
        <v>611</v>
      </c>
      <c r="E358" s="2" t="s">
        <v>608</v>
      </c>
      <c r="F358" s="2" t="s">
        <v>20</v>
      </c>
    </row>
    <row r="359" customFormat="false" ht="15" hidden="false" customHeight="false" outlineLevel="0" collapsed="false">
      <c r="A359" s="2" t="n">
        <v>358</v>
      </c>
      <c r="B359" s="2" t="s">
        <v>18</v>
      </c>
      <c r="C359" s="2" t="s">
        <v>7</v>
      </c>
      <c r="D359" s="2" t="s">
        <v>612</v>
      </c>
      <c r="E359" s="2" t="s">
        <v>608</v>
      </c>
      <c r="F359" s="2" t="s">
        <v>18</v>
      </c>
    </row>
    <row r="360" customFormat="false" ht="15" hidden="false" customHeight="false" outlineLevel="0" collapsed="false">
      <c r="A360" s="2" t="n">
        <v>359</v>
      </c>
      <c r="B360" s="2" t="s">
        <v>22</v>
      </c>
      <c r="C360" s="2" t="s">
        <v>7</v>
      </c>
      <c r="D360" s="2" t="s">
        <v>613</v>
      </c>
      <c r="E360" s="2" t="s">
        <v>608</v>
      </c>
      <c r="F360" s="2" t="s">
        <v>22</v>
      </c>
    </row>
    <row r="361" customFormat="false" ht="15" hidden="false" customHeight="false" outlineLevel="0" collapsed="false">
      <c r="A361" s="2" t="n">
        <v>360</v>
      </c>
      <c r="B361" s="2" t="s">
        <v>24</v>
      </c>
      <c r="C361" s="2" t="s">
        <v>7</v>
      </c>
      <c r="D361" s="2" t="s">
        <v>614</v>
      </c>
      <c r="E361" s="2" t="s">
        <v>608</v>
      </c>
      <c r="F361" s="2" t="s">
        <v>24</v>
      </c>
    </row>
    <row r="362" customFormat="false" ht="15" hidden="false" customHeight="false" outlineLevel="0" collapsed="false">
      <c r="A362" s="2" t="n">
        <v>361</v>
      </c>
      <c r="B362" s="2" t="s">
        <v>26</v>
      </c>
      <c r="C362" s="2" t="s">
        <v>7</v>
      </c>
      <c r="D362" s="2" t="s">
        <v>614</v>
      </c>
      <c r="E362" s="2" t="s">
        <v>608</v>
      </c>
      <c r="F362" s="2" t="s">
        <v>26</v>
      </c>
    </row>
    <row r="363" customFormat="false" ht="15" hidden="false" customHeight="false" outlineLevel="0" collapsed="false">
      <c r="A363" s="2" t="n">
        <v>362</v>
      </c>
      <c r="B363" s="2" t="s">
        <v>27</v>
      </c>
      <c r="C363" s="2" t="s">
        <v>7</v>
      </c>
      <c r="D363" s="2" t="s">
        <v>615</v>
      </c>
      <c r="E363" s="2" t="s">
        <v>608</v>
      </c>
      <c r="F363" s="2" t="s">
        <v>27</v>
      </c>
    </row>
    <row r="364" customFormat="false" ht="15" hidden="false" customHeight="false" outlineLevel="0" collapsed="false">
      <c r="A364" s="2" t="n">
        <v>363</v>
      </c>
      <c r="B364" s="2" t="s">
        <v>40</v>
      </c>
      <c r="C364" s="2" t="s">
        <v>7</v>
      </c>
      <c r="D364" s="2" t="s">
        <v>616</v>
      </c>
      <c r="E364" s="2" t="s">
        <v>608</v>
      </c>
      <c r="F364" s="2" t="s">
        <v>40</v>
      </c>
    </row>
    <row r="365" customFormat="false" ht="15" hidden="false" customHeight="false" outlineLevel="0" collapsed="false">
      <c r="A365" s="2" t="n">
        <v>364</v>
      </c>
      <c r="B365" s="2" t="s">
        <v>617</v>
      </c>
      <c r="C365" s="2" t="s">
        <v>7</v>
      </c>
      <c r="D365" s="2" t="s">
        <v>618</v>
      </c>
      <c r="E365" s="2" t="s">
        <v>608</v>
      </c>
      <c r="F365" s="2" t="s">
        <v>617</v>
      </c>
    </row>
    <row r="366" customFormat="false" ht="15" hidden="false" customHeight="false" outlineLevel="0" collapsed="false">
      <c r="A366" s="2" t="n">
        <v>365</v>
      </c>
      <c r="B366" s="2" t="s">
        <v>619</v>
      </c>
      <c r="C366" s="2" t="s">
        <v>7</v>
      </c>
      <c r="D366" s="2" t="s">
        <v>618</v>
      </c>
      <c r="E366" s="2" t="s">
        <v>608</v>
      </c>
      <c r="F366" s="2" t="s">
        <v>619</v>
      </c>
    </row>
    <row r="367" customFormat="false" ht="15" hidden="false" customHeight="false" outlineLevel="0" collapsed="false">
      <c r="A367" s="2" t="n">
        <v>366</v>
      </c>
      <c r="B367" s="2" t="s">
        <v>620</v>
      </c>
      <c r="C367" s="2" t="s">
        <v>7</v>
      </c>
      <c r="D367" s="2" t="s">
        <v>618</v>
      </c>
      <c r="E367" s="2" t="s">
        <v>608</v>
      </c>
      <c r="F367" s="2" t="s">
        <v>620</v>
      </c>
    </row>
    <row r="368" customFormat="false" ht="15" hidden="false" customHeight="false" outlineLevel="0" collapsed="false">
      <c r="A368" s="2" t="n">
        <v>367</v>
      </c>
      <c r="B368" s="2" t="s">
        <v>621</v>
      </c>
      <c r="C368" s="2" t="s">
        <v>7</v>
      </c>
      <c r="D368" s="2" t="s">
        <v>618</v>
      </c>
      <c r="E368" s="2" t="s">
        <v>608</v>
      </c>
      <c r="F368" s="2" t="s">
        <v>621</v>
      </c>
    </row>
    <row r="369" customFormat="false" ht="15" hidden="false" customHeight="false" outlineLevel="0" collapsed="false">
      <c r="A369" s="2" t="n">
        <v>368</v>
      </c>
      <c r="B369" s="2" t="s">
        <v>36</v>
      </c>
      <c r="C369" s="2" t="s">
        <v>7</v>
      </c>
      <c r="D369" s="2" t="s">
        <v>622</v>
      </c>
      <c r="E369" s="2" t="s">
        <v>608</v>
      </c>
      <c r="F369" s="2" t="s">
        <v>36</v>
      </c>
    </row>
    <row r="370" customFormat="false" ht="15" hidden="false" customHeight="false" outlineLevel="0" collapsed="false">
      <c r="A370" s="2" t="n">
        <v>369</v>
      </c>
      <c r="B370" s="2" t="s">
        <v>160</v>
      </c>
      <c r="C370" s="2" t="s">
        <v>7</v>
      </c>
      <c r="D370" s="2" t="s">
        <v>623</v>
      </c>
      <c r="E370" s="2" t="s">
        <v>608</v>
      </c>
      <c r="F370" s="2" t="s">
        <v>160</v>
      </c>
    </row>
    <row r="371" customFormat="false" ht="15" hidden="false" customHeight="false" outlineLevel="0" collapsed="false">
      <c r="A371" s="2" t="n">
        <v>370</v>
      </c>
      <c r="B371" s="2" t="s">
        <v>344</v>
      </c>
      <c r="C371" s="2" t="s">
        <v>7</v>
      </c>
      <c r="D371" s="2" t="s">
        <v>624</v>
      </c>
      <c r="E371" s="2" t="s">
        <v>608</v>
      </c>
      <c r="F371" s="2" t="s">
        <v>344</v>
      </c>
    </row>
    <row r="372" customFormat="false" ht="15" hidden="false" customHeight="false" outlineLevel="0" collapsed="false">
      <c r="A372" s="2" t="n">
        <v>371</v>
      </c>
      <c r="B372" s="2" t="s">
        <v>55</v>
      </c>
      <c r="C372" s="2" t="s">
        <v>7</v>
      </c>
      <c r="D372" s="2" t="s">
        <v>625</v>
      </c>
      <c r="E372" s="2" t="s">
        <v>608</v>
      </c>
      <c r="F372" s="2" t="s">
        <v>55</v>
      </c>
    </row>
    <row r="373" customFormat="false" ht="15" hidden="false" customHeight="false" outlineLevel="0" collapsed="false">
      <c r="A373" s="2" t="n">
        <v>372</v>
      </c>
      <c r="B373" s="2" t="s">
        <v>57</v>
      </c>
      <c r="C373" s="2" t="s">
        <v>7</v>
      </c>
      <c r="D373" s="2" t="s">
        <v>625</v>
      </c>
      <c r="E373" s="2" t="s">
        <v>608</v>
      </c>
      <c r="F373" s="2" t="s">
        <v>57</v>
      </c>
    </row>
    <row r="374" customFormat="false" ht="15" hidden="false" customHeight="false" outlineLevel="0" collapsed="false">
      <c r="A374" s="2" t="n">
        <v>373</v>
      </c>
      <c r="B374" s="2" t="s">
        <v>626</v>
      </c>
      <c r="C374" s="2" t="s">
        <v>7</v>
      </c>
      <c r="D374" s="2" t="s">
        <v>627</v>
      </c>
      <c r="E374" s="2" t="s">
        <v>608</v>
      </c>
      <c r="F374" s="2" t="s">
        <v>266</v>
      </c>
    </row>
    <row r="375" customFormat="false" ht="15" hidden="false" customHeight="false" outlineLevel="0" collapsed="false">
      <c r="A375" s="2" t="n">
        <v>374</v>
      </c>
      <c r="B375" s="2" t="s">
        <v>53</v>
      </c>
      <c r="C375" s="2" t="s">
        <v>7</v>
      </c>
      <c r="D375" s="2" t="s">
        <v>628</v>
      </c>
      <c r="E375" s="2" t="s">
        <v>608</v>
      </c>
      <c r="F375" s="2" t="s">
        <v>53</v>
      </c>
    </row>
    <row r="376" customFormat="false" ht="15" hidden="false" customHeight="false" outlineLevel="0" collapsed="false">
      <c r="A376" s="2" t="n">
        <v>375</v>
      </c>
      <c r="B376" s="2" t="s">
        <v>346</v>
      </c>
      <c r="C376" s="2" t="s">
        <v>7</v>
      </c>
      <c r="D376" s="2" t="s">
        <v>629</v>
      </c>
      <c r="E376" s="2" t="s">
        <v>608</v>
      </c>
      <c r="F376" s="2" t="s">
        <v>346</v>
      </c>
    </row>
    <row r="377" customFormat="false" ht="15" hidden="false" customHeight="false" outlineLevel="0" collapsed="false">
      <c r="A377" s="2" t="n">
        <v>376</v>
      </c>
      <c r="B377" s="2" t="s">
        <v>630</v>
      </c>
      <c r="C377" s="2" t="s">
        <v>7</v>
      </c>
      <c r="D377" s="2" t="s">
        <v>629</v>
      </c>
      <c r="E377" s="2" t="s">
        <v>608</v>
      </c>
      <c r="F377" s="2" t="s">
        <v>630</v>
      </c>
    </row>
    <row r="378" customFormat="false" ht="15" hidden="false" customHeight="false" outlineLevel="0" collapsed="false">
      <c r="A378" s="2" t="n">
        <v>377</v>
      </c>
      <c r="B378" s="2" t="s">
        <v>631</v>
      </c>
      <c r="C378" s="2" t="s">
        <v>7</v>
      </c>
      <c r="D378" s="2" t="s">
        <v>632</v>
      </c>
      <c r="E378" s="2" t="s">
        <v>608</v>
      </c>
      <c r="F378" s="2" t="s">
        <v>631</v>
      </c>
    </row>
    <row r="379" customFormat="false" ht="15" hidden="false" customHeight="false" outlineLevel="0" collapsed="false">
      <c r="A379" s="2" t="n">
        <v>378</v>
      </c>
      <c r="B379" s="2" t="s">
        <v>633</v>
      </c>
      <c r="C379" s="2" t="s">
        <v>7</v>
      </c>
      <c r="D379" s="2" t="s">
        <v>634</v>
      </c>
      <c r="E379" s="2" t="s">
        <v>608</v>
      </c>
      <c r="F379" s="2" t="s">
        <v>633</v>
      </c>
    </row>
    <row r="380" customFormat="false" ht="15" hidden="false" customHeight="false" outlineLevel="0" collapsed="false">
      <c r="A380" s="2" t="n">
        <v>379</v>
      </c>
      <c r="B380" s="2" t="s">
        <v>156</v>
      </c>
      <c r="C380" s="2" t="s">
        <v>7</v>
      </c>
      <c r="D380" s="2" t="s">
        <v>635</v>
      </c>
      <c r="E380" s="2" t="s">
        <v>608</v>
      </c>
      <c r="F380" s="2" t="s">
        <v>158</v>
      </c>
    </row>
    <row r="381" customFormat="false" ht="15" hidden="false" customHeight="false" outlineLevel="0" collapsed="false">
      <c r="A381" s="2" t="n">
        <v>380</v>
      </c>
      <c r="B381" s="2" t="s">
        <v>636</v>
      </c>
      <c r="C381" s="2" t="s">
        <v>7</v>
      </c>
      <c r="D381" s="2" t="s">
        <v>637</v>
      </c>
      <c r="E381" s="2" t="s">
        <v>608</v>
      </c>
      <c r="F381" s="2" t="s">
        <v>328</v>
      </c>
    </row>
    <row r="382" customFormat="false" ht="15" hidden="false" customHeight="false" outlineLevel="0" collapsed="false">
      <c r="A382" s="2" t="n">
        <v>381</v>
      </c>
      <c r="B382" s="2" t="s">
        <v>638</v>
      </c>
      <c r="C382" s="2" t="s">
        <v>7</v>
      </c>
      <c r="D382" s="2" t="s">
        <v>639</v>
      </c>
      <c r="E382" s="2" t="s">
        <v>608</v>
      </c>
      <c r="F382" s="2" t="s">
        <v>638</v>
      </c>
    </row>
    <row r="383" customFormat="false" ht="15" hidden="false" customHeight="false" outlineLevel="0" collapsed="false">
      <c r="A383" s="2" t="n">
        <v>382</v>
      </c>
      <c r="B383" s="2" t="s">
        <v>262</v>
      </c>
      <c r="C383" s="2" t="s">
        <v>7</v>
      </c>
      <c r="D383" s="2" t="s">
        <v>640</v>
      </c>
      <c r="E383" s="2" t="s">
        <v>608</v>
      </c>
      <c r="F383" s="2" t="s">
        <v>262</v>
      </c>
    </row>
    <row r="384" customFormat="false" ht="15" hidden="false" customHeight="false" outlineLevel="0" collapsed="false">
      <c r="A384" s="2" t="n">
        <v>383</v>
      </c>
      <c r="B384" s="2" t="s">
        <v>413</v>
      </c>
      <c r="C384" s="2" t="s">
        <v>7</v>
      </c>
      <c r="D384" s="2" t="s">
        <v>641</v>
      </c>
      <c r="E384" s="2" t="s">
        <v>608</v>
      </c>
      <c r="F384" s="2" t="s">
        <v>413</v>
      </c>
    </row>
    <row r="385" customFormat="false" ht="15" hidden="false" customHeight="false" outlineLevel="0" collapsed="false">
      <c r="A385" s="2" t="n">
        <v>384</v>
      </c>
      <c r="B385" s="2" t="s">
        <v>414</v>
      </c>
      <c r="C385" s="2" t="s">
        <v>7</v>
      </c>
      <c r="D385" s="2" t="s">
        <v>642</v>
      </c>
      <c r="E385" s="2" t="s">
        <v>608</v>
      </c>
      <c r="F385" s="2" t="s">
        <v>414</v>
      </c>
    </row>
    <row r="386" customFormat="false" ht="15" hidden="false" customHeight="false" outlineLevel="0" collapsed="false">
      <c r="A386" s="2" t="n">
        <v>385</v>
      </c>
      <c r="B386" s="2" t="s">
        <v>575</v>
      </c>
      <c r="C386" s="2" t="s">
        <v>7</v>
      </c>
      <c r="D386" s="2" t="s">
        <v>643</v>
      </c>
      <c r="E386" s="2" t="s">
        <v>608</v>
      </c>
      <c r="F386" s="2" t="s">
        <v>575</v>
      </c>
    </row>
    <row r="387" customFormat="false" ht="15" hidden="false" customHeight="false" outlineLevel="0" collapsed="false">
      <c r="A387" s="2" t="n">
        <v>386</v>
      </c>
      <c r="B387" s="2" t="s">
        <v>339</v>
      </c>
      <c r="C387" s="2" t="s">
        <v>7</v>
      </c>
      <c r="D387" s="2" t="s">
        <v>644</v>
      </c>
      <c r="E387" s="2" t="s">
        <v>608</v>
      </c>
      <c r="F387" s="2" t="s">
        <v>339</v>
      </c>
    </row>
    <row r="388" customFormat="false" ht="15" hidden="false" customHeight="false" outlineLevel="0" collapsed="false">
      <c r="A388" s="2" t="n">
        <v>387</v>
      </c>
      <c r="B388" s="2" t="s">
        <v>416</v>
      </c>
      <c r="C388" s="2" t="s">
        <v>7</v>
      </c>
      <c r="D388" s="2" t="s">
        <v>645</v>
      </c>
      <c r="E388" s="2" t="s">
        <v>608</v>
      </c>
      <c r="F388" s="2" t="s">
        <v>416</v>
      </c>
    </row>
    <row r="389" customFormat="false" ht="15" hidden="false" customHeight="false" outlineLevel="0" collapsed="false">
      <c r="A389" s="2" t="n">
        <v>388</v>
      </c>
      <c r="B389" s="2" t="s">
        <v>194</v>
      </c>
      <c r="C389" s="2" t="s">
        <v>7</v>
      </c>
      <c r="D389" s="2" t="s">
        <v>646</v>
      </c>
      <c r="E389" s="2" t="s">
        <v>608</v>
      </c>
      <c r="F389" s="2" t="s">
        <v>194</v>
      </c>
    </row>
    <row r="390" customFormat="false" ht="15" hidden="false" customHeight="false" outlineLevel="0" collapsed="false">
      <c r="A390" s="2" t="n">
        <v>389</v>
      </c>
      <c r="B390" s="2" t="s">
        <v>335</v>
      </c>
      <c r="C390" s="2" t="s">
        <v>7</v>
      </c>
      <c r="D390" s="2" t="s">
        <v>336</v>
      </c>
      <c r="E390" s="2" t="s">
        <v>608</v>
      </c>
      <c r="F390" s="2" t="s">
        <v>335</v>
      </c>
    </row>
    <row r="391" customFormat="false" ht="15" hidden="false" customHeight="false" outlineLevel="0" collapsed="false">
      <c r="A391" s="2" t="n">
        <v>390</v>
      </c>
      <c r="B391" s="2" t="s">
        <v>647</v>
      </c>
      <c r="C391" s="2" t="s">
        <v>7</v>
      </c>
      <c r="D391" s="2" t="s">
        <v>648</v>
      </c>
      <c r="E391" s="2" t="s">
        <v>608</v>
      </c>
      <c r="F391" s="2" t="s">
        <v>647</v>
      </c>
    </row>
    <row r="392" customFormat="false" ht="15" hidden="false" customHeight="false" outlineLevel="0" collapsed="false">
      <c r="A392" s="2" t="n">
        <v>391</v>
      </c>
      <c r="B392" s="2" t="s">
        <v>649</v>
      </c>
      <c r="C392" s="2" t="s">
        <v>7</v>
      </c>
      <c r="D392" s="2" t="s">
        <v>650</v>
      </c>
      <c r="E392" s="2" t="s">
        <v>608</v>
      </c>
      <c r="F392" s="2" t="s">
        <v>649</v>
      </c>
    </row>
    <row r="393" customFormat="false" ht="15" hidden="false" customHeight="false" outlineLevel="0" collapsed="false">
      <c r="A393" s="2" t="n">
        <v>392</v>
      </c>
      <c r="B393" s="2" t="s">
        <v>651</v>
      </c>
      <c r="C393" s="2" t="s">
        <v>7</v>
      </c>
      <c r="D393" s="2" t="s">
        <v>650</v>
      </c>
      <c r="E393" s="2" t="s">
        <v>608</v>
      </c>
      <c r="F393" s="2" t="s">
        <v>651</v>
      </c>
    </row>
    <row r="394" customFormat="false" ht="15" hidden="false" customHeight="false" outlineLevel="0" collapsed="false">
      <c r="A394" s="2" t="n">
        <v>393</v>
      </c>
      <c r="B394" s="2" t="s">
        <v>652</v>
      </c>
      <c r="C394" s="2" t="s">
        <v>7</v>
      </c>
      <c r="D394" s="2" t="s">
        <v>653</v>
      </c>
      <c r="E394" s="2" t="s">
        <v>608</v>
      </c>
      <c r="F394" s="2" t="s">
        <v>652</v>
      </c>
    </row>
    <row r="395" customFormat="false" ht="15" hidden="false" customHeight="false" outlineLevel="0" collapsed="false">
      <c r="A395" s="2" t="n">
        <v>394</v>
      </c>
      <c r="B395" s="2" t="s">
        <v>654</v>
      </c>
      <c r="C395" s="2" t="s">
        <v>7</v>
      </c>
      <c r="D395" s="2" t="s">
        <v>655</v>
      </c>
      <c r="E395" s="2" t="s">
        <v>608</v>
      </c>
      <c r="F395" s="2" t="s">
        <v>654</v>
      </c>
    </row>
    <row r="396" customFormat="false" ht="15" hidden="false" customHeight="false" outlineLevel="0" collapsed="false">
      <c r="A396" s="2" t="n">
        <v>395</v>
      </c>
      <c r="B396" s="2" t="s">
        <v>395</v>
      </c>
      <c r="C396" s="2" t="s">
        <v>7</v>
      </c>
      <c r="D396" s="2" t="s">
        <v>656</v>
      </c>
      <c r="E396" s="2" t="s">
        <v>608</v>
      </c>
      <c r="F396" s="2" t="s">
        <v>395</v>
      </c>
    </row>
    <row r="397" customFormat="false" ht="15" hidden="false" customHeight="false" outlineLevel="0" collapsed="false">
      <c r="A397" s="2" t="n">
        <v>396</v>
      </c>
      <c r="B397" s="2" t="s">
        <v>657</v>
      </c>
      <c r="C397" s="2" t="s">
        <v>7</v>
      </c>
      <c r="D397" s="2" t="s">
        <v>658</v>
      </c>
      <c r="E397" s="2" t="s">
        <v>608</v>
      </c>
      <c r="F397" s="2" t="s">
        <v>657</v>
      </c>
    </row>
    <row r="398" customFormat="false" ht="15" hidden="false" customHeight="false" outlineLevel="0" collapsed="false">
      <c r="A398" s="2" t="n">
        <v>397</v>
      </c>
      <c r="B398" s="2" t="s">
        <v>659</v>
      </c>
      <c r="C398" s="2" t="s">
        <v>7</v>
      </c>
      <c r="D398" s="2" t="s">
        <v>660</v>
      </c>
      <c r="E398" s="2" t="s">
        <v>608</v>
      </c>
      <c r="F398" s="2" t="s">
        <v>659</v>
      </c>
    </row>
    <row r="399" customFormat="false" ht="15" hidden="false" customHeight="false" outlineLevel="0" collapsed="false">
      <c r="A399" s="2" t="n">
        <v>398</v>
      </c>
      <c r="B399" s="2" t="s">
        <v>661</v>
      </c>
      <c r="C399" s="2" t="s">
        <v>7</v>
      </c>
      <c r="D399" s="2" t="s">
        <v>662</v>
      </c>
      <c r="E399" s="2" t="s">
        <v>608</v>
      </c>
      <c r="F399" s="2" t="s">
        <v>661</v>
      </c>
    </row>
    <row r="400" customFormat="false" ht="15" hidden="false" customHeight="false" outlineLevel="0" collapsed="false">
      <c r="A400" s="2" t="n">
        <v>399</v>
      </c>
      <c r="B400" s="2" t="s">
        <v>663</v>
      </c>
      <c r="C400" s="2" t="s">
        <v>68</v>
      </c>
      <c r="D400" s="2" t="s">
        <v>664</v>
      </c>
      <c r="E400" s="2" t="s">
        <v>608</v>
      </c>
      <c r="F400" s="2" t="s">
        <v>70</v>
      </c>
    </row>
    <row r="401" customFormat="false" ht="15" hidden="false" customHeight="false" outlineLevel="0" collapsed="false">
      <c r="A401" s="2" t="n">
        <v>400</v>
      </c>
      <c r="B401" s="2" t="s">
        <v>82</v>
      </c>
      <c r="C401" s="2" t="s">
        <v>68</v>
      </c>
      <c r="D401" s="2" t="s">
        <v>197</v>
      </c>
      <c r="E401" s="2" t="s">
        <v>608</v>
      </c>
      <c r="F401" s="2" t="s">
        <v>82</v>
      </c>
    </row>
    <row r="402" customFormat="false" ht="15" hidden="false" customHeight="false" outlineLevel="0" collapsed="false">
      <c r="A402" s="2" t="n">
        <v>401</v>
      </c>
      <c r="B402" s="2" t="s">
        <v>665</v>
      </c>
      <c r="C402" s="2" t="s">
        <v>68</v>
      </c>
      <c r="D402" s="2" t="s">
        <v>666</v>
      </c>
      <c r="E402" s="2" t="s">
        <v>608</v>
      </c>
      <c r="F402" s="2" t="s">
        <v>85</v>
      </c>
    </row>
    <row r="403" customFormat="false" ht="15" hidden="false" customHeight="false" outlineLevel="0" collapsed="false">
      <c r="A403" s="2" t="n">
        <v>402</v>
      </c>
      <c r="B403" s="2" t="s">
        <v>667</v>
      </c>
      <c r="C403" s="2" t="s">
        <v>68</v>
      </c>
      <c r="D403" s="2" t="s">
        <v>668</v>
      </c>
      <c r="E403" s="2" t="s">
        <v>608</v>
      </c>
      <c r="F403" s="2" t="s">
        <v>90</v>
      </c>
    </row>
    <row r="404" customFormat="false" ht="15" hidden="false" customHeight="false" outlineLevel="0" collapsed="false">
      <c r="A404" s="2" t="n">
        <v>403</v>
      </c>
      <c r="B404" s="2" t="s">
        <v>669</v>
      </c>
      <c r="C404" s="2" t="s">
        <v>68</v>
      </c>
      <c r="D404" s="2" t="s">
        <v>670</v>
      </c>
      <c r="E404" s="2" t="s">
        <v>608</v>
      </c>
      <c r="F404" s="2" t="s">
        <v>100</v>
      </c>
    </row>
    <row r="405" customFormat="false" ht="15" hidden="false" customHeight="false" outlineLevel="0" collapsed="false">
      <c r="A405" s="2" t="n">
        <v>404</v>
      </c>
      <c r="B405" s="2" t="s">
        <v>671</v>
      </c>
      <c r="C405" s="2" t="s">
        <v>68</v>
      </c>
      <c r="D405" s="2" t="s">
        <v>672</v>
      </c>
      <c r="E405" s="2" t="s">
        <v>608</v>
      </c>
      <c r="F405" s="2" t="s">
        <v>101</v>
      </c>
    </row>
    <row r="406" customFormat="false" ht="15" hidden="false" customHeight="false" outlineLevel="0" collapsed="false">
      <c r="A406" s="2" t="n">
        <v>405</v>
      </c>
      <c r="B406" s="2" t="s">
        <v>673</v>
      </c>
      <c r="C406" s="2" t="s">
        <v>68</v>
      </c>
      <c r="D406" s="2" t="s">
        <v>674</v>
      </c>
      <c r="E406" s="2" t="s">
        <v>608</v>
      </c>
      <c r="F406" s="2" t="s">
        <v>675</v>
      </c>
    </row>
    <row r="407" customFormat="false" ht="15" hidden="false" customHeight="false" outlineLevel="0" collapsed="false">
      <c r="A407" s="2" t="n">
        <v>406</v>
      </c>
      <c r="B407" s="2" t="s">
        <v>537</v>
      </c>
      <c r="C407" s="2" t="s">
        <v>68</v>
      </c>
      <c r="D407" s="2" t="s">
        <v>676</v>
      </c>
      <c r="E407" s="2" t="s">
        <v>608</v>
      </c>
      <c r="F407" s="2" t="s">
        <v>107</v>
      </c>
    </row>
    <row r="408" customFormat="false" ht="15" hidden="false" customHeight="false" outlineLevel="0" collapsed="false">
      <c r="A408" s="2" t="n">
        <v>407</v>
      </c>
      <c r="B408" s="2" t="s">
        <v>677</v>
      </c>
      <c r="C408" s="2" t="s">
        <v>68</v>
      </c>
      <c r="D408" s="2" t="s">
        <v>678</v>
      </c>
      <c r="E408" s="2" t="s">
        <v>608</v>
      </c>
      <c r="F408" s="2" t="s">
        <v>110</v>
      </c>
    </row>
    <row r="409" customFormat="false" ht="15" hidden="false" customHeight="false" outlineLevel="0" collapsed="false">
      <c r="A409" s="2" t="n">
        <v>408</v>
      </c>
      <c r="B409" s="2" t="s">
        <v>679</v>
      </c>
      <c r="C409" s="2" t="s">
        <v>68</v>
      </c>
      <c r="D409" s="2" t="s">
        <v>680</v>
      </c>
      <c r="E409" s="2" t="s">
        <v>608</v>
      </c>
      <c r="F409" s="2" t="s">
        <v>200</v>
      </c>
    </row>
    <row r="410" customFormat="false" ht="15" hidden="false" customHeight="false" outlineLevel="0" collapsed="false">
      <c r="A410" s="2" t="n">
        <v>409</v>
      </c>
      <c r="B410" s="2" t="s">
        <v>681</v>
      </c>
      <c r="C410" s="2" t="s">
        <v>68</v>
      </c>
      <c r="D410" s="2" t="s">
        <v>682</v>
      </c>
      <c r="E410" s="2" t="s">
        <v>608</v>
      </c>
      <c r="F410" s="2" t="s">
        <v>229</v>
      </c>
    </row>
    <row r="411" customFormat="false" ht="15" hidden="false" customHeight="false" outlineLevel="0" collapsed="false">
      <c r="A411" s="2" t="n">
        <v>410</v>
      </c>
      <c r="B411" s="2" t="s">
        <v>683</v>
      </c>
      <c r="C411" s="2" t="s">
        <v>68</v>
      </c>
      <c r="D411" s="2" t="s">
        <v>684</v>
      </c>
      <c r="E411" s="2" t="s">
        <v>608</v>
      </c>
      <c r="F411" s="2" t="s">
        <v>103</v>
      </c>
    </row>
    <row r="412" customFormat="false" ht="15" hidden="false" customHeight="false" outlineLevel="0" collapsed="false">
      <c r="A412" s="2" t="n">
        <v>411</v>
      </c>
      <c r="B412" s="2" t="s">
        <v>685</v>
      </c>
      <c r="C412" s="2" t="s">
        <v>68</v>
      </c>
      <c r="D412" s="2" t="s">
        <v>686</v>
      </c>
      <c r="E412" s="2" t="s">
        <v>608</v>
      </c>
      <c r="F412" s="2" t="s">
        <v>687</v>
      </c>
    </row>
    <row r="413" customFormat="false" ht="15" hidden="false" customHeight="false" outlineLevel="0" collapsed="false">
      <c r="A413" s="2" t="n">
        <v>412</v>
      </c>
      <c r="B413" s="2" t="s">
        <v>688</v>
      </c>
      <c r="C413" s="2" t="s">
        <v>68</v>
      </c>
      <c r="D413" s="2" t="s">
        <v>689</v>
      </c>
      <c r="E413" s="2" t="s">
        <v>608</v>
      </c>
      <c r="F413" s="2" t="s">
        <v>133</v>
      </c>
    </row>
    <row r="414" customFormat="false" ht="15" hidden="false" customHeight="false" outlineLevel="0" collapsed="false">
      <c r="A414" s="2" t="n">
        <v>413</v>
      </c>
      <c r="B414" s="2" t="s">
        <v>690</v>
      </c>
      <c r="C414" s="2" t="s">
        <v>68</v>
      </c>
      <c r="D414" s="2" t="s">
        <v>691</v>
      </c>
      <c r="E414" s="2" t="s">
        <v>608</v>
      </c>
      <c r="F414" s="2" t="s">
        <v>127</v>
      </c>
    </row>
    <row r="415" customFormat="false" ht="15" hidden="false" customHeight="false" outlineLevel="0" collapsed="false">
      <c r="A415" s="2" t="n">
        <v>414</v>
      </c>
      <c r="B415" s="2" t="s">
        <v>692</v>
      </c>
      <c r="C415" s="2" t="s">
        <v>68</v>
      </c>
      <c r="D415" s="2" t="s">
        <v>693</v>
      </c>
      <c r="E415" s="2" t="s">
        <v>608</v>
      </c>
      <c r="F415" s="2" t="s">
        <v>440</v>
      </c>
    </row>
    <row r="416" customFormat="false" ht="15" hidden="false" customHeight="false" outlineLevel="0" collapsed="false">
      <c r="A416" s="2" t="n">
        <v>415</v>
      </c>
      <c r="B416" s="2" t="s">
        <v>694</v>
      </c>
      <c r="C416" s="2" t="s">
        <v>68</v>
      </c>
      <c r="D416" s="2" t="s">
        <v>695</v>
      </c>
      <c r="E416" s="2" t="s">
        <v>608</v>
      </c>
      <c r="F416" s="2" t="s">
        <v>85</v>
      </c>
    </row>
    <row r="417" customFormat="false" ht="15" hidden="false" customHeight="false" outlineLevel="0" collapsed="false">
      <c r="A417" s="2" t="n">
        <v>416</v>
      </c>
      <c r="B417" s="2" t="s">
        <v>450</v>
      </c>
      <c r="C417" s="2" t="s">
        <v>68</v>
      </c>
      <c r="D417" s="2" t="s">
        <v>696</v>
      </c>
      <c r="E417" s="2" t="s">
        <v>608</v>
      </c>
      <c r="F417" s="2" t="s">
        <v>450</v>
      </c>
    </row>
    <row r="418" customFormat="false" ht="15" hidden="false" customHeight="false" outlineLevel="0" collapsed="false">
      <c r="A418" s="2" t="n">
        <v>417</v>
      </c>
      <c r="B418" s="2" t="s">
        <v>697</v>
      </c>
      <c r="C418" s="2" t="s">
        <v>68</v>
      </c>
      <c r="D418" s="2" t="s">
        <v>698</v>
      </c>
      <c r="E418" s="2" t="s">
        <v>608</v>
      </c>
      <c r="F418" s="2" t="s">
        <v>141</v>
      </c>
    </row>
    <row r="419" customFormat="false" ht="15" hidden="false" customHeight="false" outlineLevel="0" collapsed="false">
      <c r="A419" s="2" t="n">
        <v>418</v>
      </c>
      <c r="B419" s="2" t="s">
        <v>699</v>
      </c>
      <c r="C419" s="2" t="s">
        <v>68</v>
      </c>
      <c r="D419" s="2" t="s">
        <v>700</v>
      </c>
      <c r="E419" s="2" t="s">
        <v>608</v>
      </c>
      <c r="F419" s="2" t="s">
        <v>130</v>
      </c>
    </row>
    <row r="420" customFormat="false" ht="15" hidden="false" customHeight="false" outlineLevel="0" collapsed="false">
      <c r="A420" s="2" t="n">
        <v>419</v>
      </c>
      <c r="B420" s="2" t="s">
        <v>701</v>
      </c>
      <c r="C420" s="2" t="s">
        <v>68</v>
      </c>
      <c r="D420" s="2" t="s">
        <v>702</v>
      </c>
      <c r="E420" s="2" t="s">
        <v>608</v>
      </c>
      <c r="F420" s="2" t="s">
        <v>305</v>
      </c>
    </row>
    <row r="421" customFormat="false" ht="15" hidden="false" customHeight="false" outlineLevel="0" collapsed="false">
      <c r="A421" s="2" t="n">
        <v>420</v>
      </c>
      <c r="B421" s="2" t="s">
        <v>703</v>
      </c>
      <c r="C421" s="2" t="s">
        <v>68</v>
      </c>
      <c r="D421" s="2" t="s">
        <v>704</v>
      </c>
      <c r="E421" s="2" t="s">
        <v>608</v>
      </c>
      <c r="F421" s="2" t="s">
        <v>703</v>
      </c>
    </row>
    <row r="422" customFormat="false" ht="15" hidden="false" customHeight="false" outlineLevel="0" collapsed="false">
      <c r="A422" s="2" t="n">
        <v>421</v>
      </c>
      <c r="B422" s="2" t="s">
        <v>705</v>
      </c>
      <c r="C422" s="2" t="s">
        <v>68</v>
      </c>
      <c r="D422" s="2" t="s">
        <v>706</v>
      </c>
      <c r="E422" s="2" t="s">
        <v>608</v>
      </c>
      <c r="F422" s="2" t="s">
        <v>238</v>
      </c>
    </row>
    <row r="423" customFormat="false" ht="15" hidden="false" customHeight="false" outlineLevel="0" collapsed="false">
      <c r="A423" s="2" t="n">
        <v>422</v>
      </c>
      <c r="B423" s="2" t="s">
        <v>86</v>
      </c>
      <c r="C423" s="2" t="s">
        <v>68</v>
      </c>
      <c r="D423" s="2" t="s">
        <v>707</v>
      </c>
      <c r="E423" s="2" t="s">
        <v>608</v>
      </c>
      <c r="F423" s="2" t="s">
        <v>86</v>
      </c>
    </row>
    <row r="424" customFormat="false" ht="15" hidden="false" customHeight="false" outlineLevel="0" collapsed="false">
      <c r="A424" s="2" t="n">
        <v>423</v>
      </c>
      <c r="B424" s="2" t="s">
        <v>708</v>
      </c>
      <c r="C424" s="2" t="s">
        <v>68</v>
      </c>
      <c r="D424" s="2" t="s">
        <v>709</v>
      </c>
      <c r="E424" s="2" t="s">
        <v>608</v>
      </c>
      <c r="F424" s="2" t="s">
        <v>708</v>
      </c>
    </row>
    <row r="425" customFormat="false" ht="15" hidden="false" customHeight="false" outlineLevel="0" collapsed="false">
      <c r="A425" s="2" t="n">
        <v>424</v>
      </c>
      <c r="B425" s="2" t="s">
        <v>710</v>
      </c>
      <c r="C425" s="2" t="s">
        <v>68</v>
      </c>
      <c r="D425" s="2" t="s">
        <v>711</v>
      </c>
      <c r="E425" s="2" t="s">
        <v>608</v>
      </c>
      <c r="F425" s="2" t="s">
        <v>710</v>
      </c>
    </row>
    <row r="426" customFormat="false" ht="15" hidden="false" customHeight="false" outlineLevel="0" collapsed="false">
      <c r="A426" s="2" t="n">
        <v>425</v>
      </c>
      <c r="B426" s="2" t="s">
        <v>712</v>
      </c>
      <c r="C426" s="2" t="s">
        <v>68</v>
      </c>
      <c r="D426" s="2" t="s">
        <v>713</v>
      </c>
      <c r="E426" s="2" t="s">
        <v>608</v>
      </c>
      <c r="F426" s="2" t="s">
        <v>242</v>
      </c>
    </row>
    <row r="427" customFormat="false" ht="15" hidden="false" customHeight="false" outlineLevel="0" collapsed="false">
      <c r="A427" s="2" t="n">
        <v>426</v>
      </c>
      <c r="B427" s="2" t="s">
        <v>714</v>
      </c>
      <c r="C427" s="2" t="s">
        <v>68</v>
      </c>
      <c r="D427" s="2" t="s">
        <v>715</v>
      </c>
      <c r="E427" s="2" t="s">
        <v>608</v>
      </c>
      <c r="F427" s="2" t="s">
        <v>714</v>
      </c>
    </row>
    <row r="428" customFormat="false" ht="15" hidden="false" customHeight="false" outlineLevel="0" collapsed="false">
      <c r="A428" s="2" t="n">
        <v>427</v>
      </c>
      <c r="B428" s="2" t="s">
        <v>716</v>
      </c>
      <c r="C428" s="2" t="s">
        <v>68</v>
      </c>
      <c r="D428" s="2" t="s">
        <v>717</v>
      </c>
      <c r="E428" s="2" t="s">
        <v>608</v>
      </c>
      <c r="F428" s="2" t="s">
        <v>121</v>
      </c>
    </row>
    <row r="429" customFormat="false" ht="15" hidden="false" customHeight="false" outlineLevel="0" collapsed="false">
      <c r="A429" s="2" t="n">
        <v>428</v>
      </c>
      <c r="B429" s="2" t="s">
        <v>718</v>
      </c>
      <c r="C429" s="2" t="s">
        <v>68</v>
      </c>
      <c r="D429" s="2" t="s">
        <v>719</v>
      </c>
      <c r="E429" s="2" t="s">
        <v>608</v>
      </c>
      <c r="F429" s="2" t="s">
        <v>718</v>
      </c>
    </row>
    <row r="430" customFormat="false" ht="15" hidden="false" customHeight="false" outlineLevel="0" collapsed="false">
      <c r="A430" s="2" t="n">
        <v>429</v>
      </c>
      <c r="B430" s="2" t="s">
        <v>481</v>
      </c>
      <c r="C430" s="2" t="s">
        <v>68</v>
      </c>
      <c r="D430" s="2" t="s">
        <v>720</v>
      </c>
      <c r="E430" s="2" t="s">
        <v>608</v>
      </c>
      <c r="F430" s="2" t="s">
        <v>481</v>
      </c>
    </row>
    <row r="431" customFormat="false" ht="15" hidden="false" customHeight="false" outlineLevel="0" collapsed="false">
      <c r="A431" s="2" t="n">
        <v>430</v>
      </c>
      <c r="B431" s="2" t="s">
        <v>721</v>
      </c>
      <c r="C431" s="2" t="s">
        <v>68</v>
      </c>
      <c r="D431" s="2" t="s">
        <v>722</v>
      </c>
      <c r="E431" s="2" t="s">
        <v>608</v>
      </c>
      <c r="F431" s="2" t="s">
        <v>721</v>
      </c>
    </row>
    <row r="432" customFormat="false" ht="15" hidden="false" customHeight="false" outlineLevel="0" collapsed="false">
      <c r="A432" s="2" t="n">
        <v>431</v>
      </c>
      <c r="B432" s="2" t="s">
        <v>723</v>
      </c>
      <c r="C432" s="2" t="s">
        <v>68</v>
      </c>
      <c r="D432" s="2" t="s">
        <v>724</v>
      </c>
      <c r="E432" s="2" t="s">
        <v>608</v>
      </c>
      <c r="F432" s="2" t="s">
        <v>725</v>
      </c>
    </row>
    <row r="433" customFormat="false" ht="15" hidden="false" customHeight="false" outlineLevel="0" collapsed="false">
      <c r="A433" s="2" t="n">
        <v>432</v>
      </c>
      <c r="B433" s="2" t="s">
        <v>726</v>
      </c>
      <c r="C433" s="2" t="s">
        <v>68</v>
      </c>
      <c r="D433" s="2" t="s">
        <v>727</v>
      </c>
      <c r="E433" s="2" t="s">
        <v>608</v>
      </c>
      <c r="F433" s="2" t="s">
        <v>148</v>
      </c>
    </row>
    <row r="434" customFormat="false" ht="15" hidden="false" customHeight="false" outlineLevel="0" collapsed="false">
      <c r="A434" s="2" t="n">
        <v>433</v>
      </c>
      <c r="B434" s="2" t="s">
        <v>728</v>
      </c>
      <c r="C434" s="2" t="s">
        <v>68</v>
      </c>
      <c r="D434" s="2" t="s">
        <v>729</v>
      </c>
      <c r="E434" s="2" t="s">
        <v>608</v>
      </c>
      <c r="F434" s="2" t="s">
        <v>730</v>
      </c>
    </row>
    <row r="435" customFormat="false" ht="15" hidden="false" customHeight="false" outlineLevel="0" collapsed="false">
      <c r="A435" s="2" t="n">
        <v>434</v>
      </c>
      <c r="B435" s="2" t="s">
        <v>12</v>
      </c>
      <c r="C435" s="2" t="s">
        <v>7</v>
      </c>
      <c r="D435" s="2" t="s">
        <v>609</v>
      </c>
      <c r="E435" s="2" t="s">
        <v>731</v>
      </c>
      <c r="F435" s="2" t="s">
        <v>12</v>
      </c>
    </row>
    <row r="436" customFormat="false" ht="15" hidden="false" customHeight="false" outlineLevel="0" collapsed="false">
      <c r="A436" s="2" t="n">
        <v>435</v>
      </c>
      <c r="B436" s="2" t="s">
        <v>6</v>
      </c>
      <c r="C436" s="2" t="s">
        <v>7</v>
      </c>
      <c r="D436" s="2" t="s">
        <v>513</v>
      </c>
      <c r="E436" s="2" t="s">
        <v>731</v>
      </c>
      <c r="F436" s="2" t="s">
        <v>6</v>
      </c>
    </row>
    <row r="437" customFormat="false" ht="15" hidden="false" customHeight="false" outlineLevel="0" collapsed="false">
      <c r="A437" s="2" t="n">
        <v>436</v>
      </c>
      <c r="B437" s="2" t="s">
        <v>20</v>
      </c>
      <c r="C437" s="2" t="s">
        <v>7</v>
      </c>
      <c r="D437" s="2" t="s">
        <v>732</v>
      </c>
      <c r="E437" s="2" t="s">
        <v>731</v>
      </c>
      <c r="F437" s="2" t="s">
        <v>20</v>
      </c>
    </row>
    <row r="438" customFormat="false" ht="15" hidden="false" customHeight="false" outlineLevel="0" collapsed="false">
      <c r="A438" s="2" t="n">
        <v>437</v>
      </c>
      <c r="B438" s="2" t="s">
        <v>18</v>
      </c>
      <c r="C438" s="2" t="s">
        <v>7</v>
      </c>
      <c r="D438" s="2" t="s">
        <v>733</v>
      </c>
      <c r="E438" s="2" t="s">
        <v>731</v>
      </c>
      <c r="F438" s="2" t="s">
        <v>18</v>
      </c>
    </row>
    <row r="439" customFormat="false" ht="15" hidden="false" customHeight="false" outlineLevel="0" collapsed="false">
      <c r="A439" s="2" t="n">
        <v>438</v>
      </c>
      <c r="B439" s="2" t="s">
        <v>22</v>
      </c>
      <c r="C439" s="2" t="s">
        <v>7</v>
      </c>
      <c r="D439" s="2" t="s">
        <v>734</v>
      </c>
      <c r="E439" s="2" t="s">
        <v>731</v>
      </c>
      <c r="F439" s="2" t="s">
        <v>22</v>
      </c>
    </row>
    <row r="440" customFormat="false" ht="15" hidden="false" customHeight="false" outlineLevel="0" collapsed="false">
      <c r="A440" s="2" t="n">
        <v>439</v>
      </c>
      <c r="B440" s="2" t="s">
        <v>24</v>
      </c>
      <c r="C440" s="2" t="s">
        <v>7</v>
      </c>
      <c r="D440" s="2" t="s">
        <v>735</v>
      </c>
      <c r="E440" s="2" t="s">
        <v>731</v>
      </c>
      <c r="F440" s="2" t="s">
        <v>24</v>
      </c>
    </row>
    <row r="441" customFormat="false" ht="15" hidden="false" customHeight="false" outlineLevel="0" collapsed="false">
      <c r="A441" s="2" t="n">
        <v>440</v>
      </c>
      <c r="B441" s="2" t="s">
        <v>26</v>
      </c>
      <c r="C441" s="2" t="s">
        <v>7</v>
      </c>
      <c r="D441" s="2" t="s">
        <v>736</v>
      </c>
      <c r="E441" s="2" t="s">
        <v>731</v>
      </c>
      <c r="F441" s="2" t="s">
        <v>26</v>
      </c>
    </row>
    <row r="442" customFormat="false" ht="15" hidden="false" customHeight="false" outlineLevel="0" collapsed="false">
      <c r="A442" s="2" t="n">
        <v>441</v>
      </c>
      <c r="B442" s="2" t="s">
        <v>27</v>
      </c>
      <c r="C442" s="2" t="s">
        <v>7</v>
      </c>
      <c r="D442" s="2" t="s">
        <v>737</v>
      </c>
      <c r="E442" s="2" t="s">
        <v>731</v>
      </c>
      <c r="F442" s="2" t="s">
        <v>27</v>
      </c>
    </row>
    <row r="443" customFormat="false" ht="15" hidden="false" customHeight="false" outlineLevel="0" collapsed="false">
      <c r="A443" s="2" t="n">
        <v>442</v>
      </c>
      <c r="B443" s="2" t="s">
        <v>14</v>
      </c>
      <c r="C443" s="2" t="s">
        <v>7</v>
      </c>
      <c r="D443" s="2" t="s">
        <v>738</v>
      </c>
      <c r="E443" s="2" t="s">
        <v>731</v>
      </c>
      <c r="F443" s="2" t="s">
        <v>14</v>
      </c>
    </row>
    <row r="444" customFormat="false" ht="15" hidden="false" customHeight="false" outlineLevel="0" collapsed="false">
      <c r="A444" s="2" t="n">
        <v>443</v>
      </c>
      <c r="B444" s="2" t="s">
        <v>739</v>
      </c>
      <c r="C444" s="2" t="s">
        <v>7</v>
      </c>
      <c r="D444" s="2" t="s">
        <v>740</v>
      </c>
      <c r="E444" s="2" t="s">
        <v>731</v>
      </c>
      <c r="F444" s="2" t="s">
        <v>739</v>
      </c>
    </row>
    <row r="445" customFormat="false" ht="15" hidden="false" customHeight="false" outlineLevel="0" collapsed="false">
      <c r="A445" s="2" t="n">
        <v>444</v>
      </c>
      <c r="B445" s="2" t="s">
        <v>155</v>
      </c>
      <c r="C445" s="2" t="s">
        <v>7</v>
      </c>
      <c r="D445" s="2" t="s">
        <v>741</v>
      </c>
      <c r="E445" s="2" t="s">
        <v>731</v>
      </c>
      <c r="F445" s="2" t="s">
        <v>155</v>
      </c>
    </row>
    <row r="446" customFormat="false" ht="15" hidden="false" customHeight="false" outlineLevel="0" collapsed="false">
      <c r="A446" s="2" t="n">
        <v>445</v>
      </c>
      <c r="B446" s="2" t="s">
        <v>158</v>
      </c>
      <c r="C446" s="2" t="s">
        <v>7</v>
      </c>
      <c r="D446" s="2" t="s">
        <v>741</v>
      </c>
      <c r="E446" s="2" t="s">
        <v>731</v>
      </c>
      <c r="F446" s="2" t="s">
        <v>158</v>
      </c>
    </row>
    <row r="447" customFormat="false" ht="15" hidden="false" customHeight="false" outlineLevel="0" collapsed="false">
      <c r="A447" s="2" t="n">
        <v>446</v>
      </c>
      <c r="B447" s="2" t="s">
        <v>160</v>
      </c>
      <c r="C447" s="2" t="s">
        <v>7</v>
      </c>
      <c r="D447" s="2" t="s">
        <v>742</v>
      </c>
      <c r="E447" s="2" t="s">
        <v>731</v>
      </c>
      <c r="F447" s="2" t="s">
        <v>160</v>
      </c>
    </row>
    <row r="448" customFormat="false" ht="15" hidden="false" customHeight="false" outlineLevel="0" collapsed="false">
      <c r="A448" s="2" t="n">
        <v>447</v>
      </c>
      <c r="B448" s="2" t="s">
        <v>16</v>
      </c>
      <c r="C448" s="2" t="s">
        <v>7</v>
      </c>
      <c r="D448" s="2" t="s">
        <v>743</v>
      </c>
      <c r="E448" s="2" t="s">
        <v>731</v>
      </c>
      <c r="F448" s="2" t="s">
        <v>16</v>
      </c>
    </row>
    <row r="449" customFormat="false" ht="15" hidden="false" customHeight="false" outlineLevel="0" collapsed="false">
      <c r="A449" s="2" t="n">
        <v>448</v>
      </c>
      <c r="B449" s="2" t="s">
        <v>55</v>
      </c>
      <c r="C449" s="2" t="s">
        <v>7</v>
      </c>
      <c r="D449" s="2" t="s">
        <v>744</v>
      </c>
      <c r="E449" s="2" t="s">
        <v>731</v>
      </c>
      <c r="F449" s="2" t="s">
        <v>55</v>
      </c>
    </row>
    <row r="450" customFormat="false" ht="15" hidden="false" customHeight="false" outlineLevel="0" collapsed="false">
      <c r="A450" s="2" t="n">
        <v>449</v>
      </c>
      <c r="B450" s="2" t="s">
        <v>57</v>
      </c>
      <c r="C450" s="2" t="s">
        <v>7</v>
      </c>
      <c r="D450" s="2" t="s">
        <v>744</v>
      </c>
      <c r="E450" s="2" t="s">
        <v>731</v>
      </c>
      <c r="F450" s="2" t="s">
        <v>57</v>
      </c>
    </row>
    <row r="451" customFormat="false" ht="15" hidden="false" customHeight="false" outlineLevel="0" collapsed="false">
      <c r="A451" s="2" t="n">
        <v>450</v>
      </c>
      <c r="B451" s="2" t="s">
        <v>58</v>
      </c>
      <c r="C451" s="2" t="s">
        <v>7</v>
      </c>
      <c r="D451" s="2" t="s">
        <v>745</v>
      </c>
      <c r="E451" s="2" t="s">
        <v>731</v>
      </c>
      <c r="F451" s="2" t="s">
        <v>58</v>
      </c>
    </row>
    <row r="452" customFormat="false" ht="15" hidden="false" customHeight="false" outlineLevel="0" collapsed="false">
      <c r="A452" s="2" t="n">
        <v>451</v>
      </c>
      <c r="B452" s="2" t="s">
        <v>60</v>
      </c>
      <c r="C452" s="2" t="s">
        <v>7</v>
      </c>
      <c r="D452" s="2" t="s">
        <v>745</v>
      </c>
      <c r="E452" s="2" t="s">
        <v>731</v>
      </c>
      <c r="F452" s="2" t="s">
        <v>60</v>
      </c>
    </row>
    <row r="453" customFormat="false" ht="15" hidden="false" customHeight="false" outlineLevel="0" collapsed="false">
      <c r="A453" s="2" t="n">
        <v>452</v>
      </c>
      <c r="B453" s="2" t="s">
        <v>61</v>
      </c>
      <c r="C453" s="2" t="s">
        <v>7</v>
      </c>
      <c r="D453" s="2" t="s">
        <v>746</v>
      </c>
      <c r="E453" s="2" t="s">
        <v>731</v>
      </c>
      <c r="F453" s="2" t="s">
        <v>61</v>
      </c>
    </row>
    <row r="454" customFormat="false" ht="15" hidden="false" customHeight="false" outlineLevel="0" collapsed="false">
      <c r="A454" s="2" t="n">
        <v>453</v>
      </c>
      <c r="B454" s="2" t="s">
        <v>62</v>
      </c>
      <c r="C454" s="2" t="s">
        <v>7</v>
      </c>
      <c r="D454" s="2" t="s">
        <v>745</v>
      </c>
      <c r="E454" s="2" t="s">
        <v>731</v>
      </c>
      <c r="F454" s="2" t="s">
        <v>62</v>
      </c>
    </row>
    <row r="455" customFormat="false" ht="15" hidden="false" customHeight="false" outlineLevel="0" collapsed="false">
      <c r="A455" s="2" t="n">
        <v>454</v>
      </c>
      <c r="B455" s="2" t="s">
        <v>522</v>
      </c>
      <c r="C455" s="2" t="s">
        <v>7</v>
      </c>
      <c r="D455" s="2" t="s">
        <v>747</v>
      </c>
      <c r="E455" s="2" t="s">
        <v>731</v>
      </c>
      <c r="F455" s="2" t="s">
        <v>522</v>
      </c>
    </row>
    <row r="456" customFormat="false" ht="15" hidden="false" customHeight="false" outlineLevel="0" collapsed="false">
      <c r="A456" s="2" t="n">
        <v>455</v>
      </c>
      <c r="B456" s="2" t="s">
        <v>748</v>
      </c>
      <c r="C456" s="2" t="s">
        <v>7</v>
      </c>
      <c r="D456" s="2" t="s">
        <v>749</v>
      </c>
      <c r="E456" s="2" t="s">
        <v>731</v>
      </c>
      <c r="F456" s="2" t="s">
        <v>748</v>
      </c>
    </row>
    <row r="457" customFormat="false" ht="15" hidden="false" customHeight="false" outlineLevel="0" collapsed="false">
      <c r="A457" s="2" t="n">
        <v>456</v>
      </c>
      <c r="B457" s="2" t="s">
        <v>328</v>
      </c>
      <c r="C457" s="2" t="s">
        <v>7</v>
      </c>
      <c r="D457" s="2" t="s">
        <v>750</v>
      </c>
      <c r="E457" s="2" t="s">
        <v>731</v>
      </c>
      <c r="F457" s="2" t="s">
        <v>328</v>
      </c>
    </row>
    <row r="458" customFormat="false" ht="15" hidden="false" customHeight="false" outlineLevel="0" collapsed="false">
      <c r="A458" s="2" t="n">
        <v>457</v>
      </c>
      <c r="B458" s="2" t="s">
        <v>751</v>
      </c>
      <c r="C458" s="2" t="s">
        <v>7</v>
      </c>
      <c r="D458" s="2" t="s">
        <v>752</v>
      </c>
      <c r="E458" s="2" t="s">
        <v>731</v>
      </c>
      <c r="F458" s="2" t="s">
        <v>751</v>
      </c>
    </row>
    <row r="459" customFormat="false" ht="15" hidden="false" customHeight="false" outlineLevel="0" collapsed="false">
      <c r="A459" s="2" t="n">
        <v>458</v>
      </c>
      <c r="B459" s="2" t="s">
        <v>82</v>
      </c>
      <c r="C459" s="2" t="s">
        <v>68</v>
      </c>
      <c r="D459" s="2" t="s">
        <v>197</v>
      </c>
      <c r="E459" s="2" t="s">
        <v>731</v>
      </c>
      <c r="F459" s="2" t="s">
        <v>82</v>
      </c>
    </row>
    <row r="460" customFormat="false" ht="15" hidden="false" customHeight="false" outlineLevel="0" collapsed="false">
      <c r="A460" s="2" t="n">
        <v>459</v>
      </c>
      <c r="B460" s="2" t="s">
        <v>753</v>
      </c>
      <c r="C460" s="2" t="s">
        <v>68</v>
      </c>
      <c r="D460" s="2" t="s">
        <v>754</v>
      </c>
      <c r="E460" s="2" t="s">
        <v>731</v>
      </c>
      <c r="F460" s="2" t="s">
        <v>85</v>
      </c>
    </row>
    <row r="461" customFormat="false" ht="15" hidden="false" customHeight="false" outlineLevel="0" collapsed="false">
      <c r="A461" s="2" t="n">
        <v>460</v>
      </c>
      <c r="B461" s="2" t="s">
        <v>755</v>
      </c>
      <c r="C461" s="2" t="s">
        <v>68</v>
      </c>
      <c r="D461" s="2" t="s">
        <v>756</v>
      </c>
      <c r="E461" s="2" t="s">
        <v>731</v>
      </c>
      <c r="F461" s="2" t="s">
        <v>100</v>
      </c>
    </row>
    <row r="462" customFormat="false" ht="15" hidden="false" customHeight="false" outlineLevel="0" collapsed="false">
      <c r="A462" s="2" t="n">
        <v>461</v>
      </c>
      <c r="B462" s="2" t="s">
        <v>757</v>
      </c>
      <c r="C462" s="2" t="s">
        <v>68</v>
      </c>
      <c r="D462" s="2" t="s">
        <v>758</v>
      </c>
      <c r="E462" s="2" t="s">
        <v>731</v>
      </c>
      <c r="F462" s="2" t="s">
        <v>97</v>
      </c>
    </row>
    <row r="463" customFormat="false" ht="15" hidden="false" customHeight="false" outlineLevel="0" collapsed="false">
      <c r="A463" s="2" t="n">
        <v>462</v>
      </c>
      <c r="B463" s="2" t="s">
        <v>759</v>
      </c>
      <c r="C463" s="2" t="s">
        <v>68</v>
      </c>
      <c r="D463" s="2" t="s">
        <v>760</v>
      </c>
      <c r="E463" s="2" t="s">
        <v>731</v>
      </c>
      <c r="F463" s="2" t="s">
        <v>245</v>
      </c>
    </row>
    <row r="464" customFormat="false" ht="15" hidden="false" customHeight="false" outlineLevel="0" collapsed="false">
      <c r="A464" s="2" t="n">
        <v>463</v>
      </c>
      <c r="B464" s="2" t="s">
        <v>761</v>
      </c>
      <c r="C464" s="2" t="s">
        <v>68</v>
      </c>
      <c r="D464" s="2" t="s">
        <v>762</v>
      </c>
      <c r="E464" s="2" t="s">
        <v>731</v>
      </c>
      <c r="F464" s="2" t="s">
        <v>245</v>
      </c>
    </row>
    <row r="465" customFormat="false" ht="15" hidden="false" customHeight="false" outlineLevel="0" collapsed="false">
      <c r="A465" s="2" t="n">
        <v>464</v>
      </c>
      <c r="B465" s="2" t="s">
        <v>763</v>
      </c>
      <c r="C465" s="2" t="s">
        <v>68</v>
      </c>
      <c r="D465" s="2" t="s">
        <v>764</v>
      </c>
      <c r="E465" s="2" t="s">
        <v>731</v>
      </c>
      <c r="F465" s="2" t="s">
        <v>107</v>
      </c>
    </row>
    <row r="466" customFormat="false" ht="15" hidden="false" customHeight="false" outlineLevel="0" collapsed="false">
      <c r="A466" s="2" t="n">
        <v>465</v>
      </c>
      <c r="B466" s="2" t="s">
        <v>114</v>
      </c>
      <c r="C466" s="2" t="s">
        <v>68</v>
      </c>
      <c r="D466" s="2" t="s">
        <v>765</v>
      </c>
      <c r="E466" s="2" t="s">
        <v>731</v>
      </c>
      <c r="F466" s="2" t="s">
        <v>116</v>
      </c>
    </row>
    <row r="467" customFormat="false" ht="15" hidden="false" customHeight="false" outlineLevel="0" collapsed="false">
      <c r="A467" s="2" t="n">
        <v>466</v>
      </c>
      <c r="B467" s="2" t="s">
        <v>86</v>
      </c>
      <c r="C467" s="2" t="s">
        <v>68</v>
      </c>
      <c r="D467" s="2" t="s">
        <v>766</v>
      </c>
      <c r="E467" s="2" t="s">
        <v>731</v>
      </c>
      <c r="F467" s="2" t="s">
        <v>86</v>
      </c>
    </row>
    <row r="468" customFormat="false" ht="15" hidden="false" customHeight="false" outlineLevel="0" collapsed="false">
      <c r="A468" s="2" t="n">
        <v>467</v>
      </c>
      <c r="B468" s="2" t="s">
        <v>767</v>
      </c>
      <c r="C468" s="2" t="s">
        <v>68</v>
      </c>
      <c r="D468" s="2" t="s">
        <v>768</v>
      </c>
      <c r="E468" s="2" t="s">
        <v>731</v>
      </c>
      <c r="F468" s="2" t="s">
        <v>440</v>
      </c>
    </row>
    <row r="469" customFormat="false" ht="15" hidden="false" customHeight="false" outlineLevel="0" collapsed="false">
      <c r="A469" s="2" t="n">
        <v>468</v>
      </c>
      <c r="B469" s="2" t="s">
        <v>769</v>
      </c>
      <c r="C469" s="2" t="s">
        <v>68</v>
      </c>
      <c r="D469" s="2" t="s">
        <v>770</v>
      </c>
      <c r="E469" s="2" t="s">
        <v>731</v>
      </c>
      <c r="F469" s="2" t="s">
        <v>242</v>
      </c>
    </row>
    <row r="470" customFormat="false" ht="15" hidden="false" customHeight="false" outlineLevel="0" collapsed="false">
      <c r="A470" s="2" t="n">
        <v>469</v>
      </c>
      <c r="B470" s="2" t="s">
        <v>771</v>
      </c>
      <c r="C470" s="2" t="s">
        <v>68</v>
      </c>
      <c r="D470" s="2" t="s">
        <v>772</v>
      </c>
      <c r="E470" s="2" t="s">
        <v>731</v>
      </c>
      <c r="F470" s="2" t="s">
        <v>208</v>
      </c>
    </row>
    <row r="471" customFormat="false" ht="15" hidden="false" customHeight="false" outlineLevel="0" collapsed="false">
      <c r="A471" s="2" t="n">
        <v>470</v>
      </c>
      <c r="B471" s="2" t="s">
        <v>773</v>
      </c>
      <c r="C471" s="2" t="s">
        <v>68</v>
      </c>
      <c r="D471" s="2" t="s">
        <v>774</v>
      </c>
      <c r="E471" s="2" t="s">
        <v>731</v>
      </c>
      <c r="F471" s="2" t="s">
        <v>124</v>
      </c>
    </row>
    <row r="472" customFormat="false" ht="15" hidden="false" customHeight="false" outlineLevel="0" collapsed="false">
      <c r="A472" s="2" t="n">
        <v>471</v>
      </c>
      <c r="B472" s="2" t="s">
        <v>458</v>
      </c>
      <c r="C472" s="2" t="s">
        <v>68</v>
      </c>
      <c r="D472" s="2" t="s">
        <v>775</v>
      </c>
      <c r="E472" s="2" t="s">
        <v>731</v>
      </c>
      <c r="F472" s="2" t="s">
        <v>458</v>
      </c>
    </row>
    <row r="473" customFormat="false" ht="15" hidden="false" customHeight="false" outlineLevel="0" collapsed="false">
      <c r="A473" s="2" t="n">
        <v>472</v>
      </c>
      <c r="B473" s="2" t="s">
        <v>776</v>
      </c>
      <c r="C473" s="2" t="s">
        <v>68</v>
      </c>
      <c r="D473" s="2" t="s">
        <v>777</v>
      </c>
      <c r="E473" s="2" t="s">
        <v>731</v>
      </c>
      <c r="F473" s="2" t="s">
        <v>141</v>
      </c>
    </row>
    <row r="474" customFormat="false" ht="15" hidden="false" customHeight="false" outlineLevel="0" collapsed="false">
      <c r="A474" s="2" t="n">
        <v>473</v>
      </c>
      <c r="B474" s="2" t="s">
        <v>778</v>
      </c>
      <c r="C474" s="2" t="s">
        <v>68</v>
      </c>
      <c r="D474" s="2" t="s">
        <v>779</v>
      </c>
      <c r="E474" s="2" t="s">
        <v>731</v>
      </c>
      <c r="F474" s="2" t="s">
        <v>305</v>
      </c>
    </row>
    <row r="475" customFormat="false" ht="15" hidden="false" customHeight="false" outlineLevel="0" collapsed="false">
      <c r="A475" s="2" t="n">
        <v>474</v>
      </c>
      <c r="B475" s="2" t="s">
        <v>780</v>
      </c>
      <c r="C475" s="2" t="s">
        <v>68</v>
      </c>
      <c r="D475" s="2" t="s">
        <v>781</v>
      </c>
      <c r="E475" s="2" t="s">
        <v>731</v>
      </c>
      <c r="F475" s="2" t="s">
        <v>133</v>
      </c>
    </row>
    <row r="476" customFormat="false" ht="15" hidden="false" customHeight="false" outlineLevel="0" collapsed="false">
      <c r="A476" s="2" t="n">
        <v>475</v>
      </c>
      <c r="B476" s="2" t="s">
        <v>782</v>
      </c>
      <c r="C476" s="2" t="s">
        <v>68</v>
      </c>
      <c r="D476" s="2" t="s">
        <v>783</v>
      </c>
      <c r="E476" s="2" t="s">
        <v>731</v>
      </c>
      <c r="F476" s="2" t="s">
        <v>782</v>
      </c>
    </row>
    <row r="477" customFormat="false" ht="15" hidden="false" customHeight="false" outlineLevel="0" collapsed="false">
      <c r="A477" s="2" t="n">
        <v>476</v>
      </c>
      <c r="B477" s="2" t="s">
        <v>784</v>
      </c>
      <c r="C477" s="2" t="s">
        <v>68</v>
      </c>
      <c r="D477" s="2" t="s">
        <v>785</v>
      </c>
      <c r="E477" s="2" t="s">
        <v>731</v>
      </c>
      <c r="F477" s="2" t="s">
        <v>238</v>
      </c>
    </row>
    <row r="478" customFormat="false" ht="15" hidden="false" customHeight="false" outlineLevel="0" collapsed="false">
      <c r="A478" s="2" t="n">
        <v>477</v>
      </c>
      <c r="B478" s="2" t="s">
        <v>786</v>
      </c>
      <c r="C478" s="2" t="s">
        <v>68</v>
      </c>
      <c r="D478" s="2" t="s">
        <v>787</v>
      </c>
      <c r="E478" s="2" t="s">
        <v>731</v>
      </c>
      <c r="F478" s="2" t="s">
        <v>141</v>
      </c>
    </row>
    <row r="479" customFormat="false" ht="15" hidden="false" customHeight="false" outlineLevel="0" collapsed="false">
      <c r="A479" s="2" t="n">
        <v>478</v>
      </c>
      <c r="B479" s="2" t="s">
        <v>103</v>
      </c>
      <c r="C479" s="2" t="s">
        <v>68</v>
      </c>
      <c r="D479" s="2" t="s">
        <v>788</v>
      </c>
      <c r="E479" s="2" t="s">
        <v>731</v>
      </c>
      <c r="F479" s="2" t="s">
        <v>103</v>
      </c>
    </row>
    <row r="480" customFormat="false" ht="15" hidden="false" customHeight="false" outlineLevel="0" collapsed="false">
      <c r="A480" s="2" t="n">
        <v>479</v>
      </c>
      <c r="B480" s="2" t="s">
        <v>249</v>
      </c>
      <c r="C480" s="2" t="s">
        <v>68</v>
      </c>
      <c r="D480" s="2" t="s">
        <v>789</v>
      </c>
      <c r="E480" s="2" t="s">
        <v>731</v>
      </c>
      <c r="F480" s="2" t="s">
        <v>113</v>
      </c>
    </row>
    <row r="481" customFormat="false" ht="15" hidden="false" customHeight="false" outlineLevel="0" collapsed="false">
      <c r="A481" s="2" t="n">
        <v>480</v>
      </c>
      <c r="B481" s="2" t="s">
        <v>602</v>
      </c>
      <c r="C481" s="2" t="s">
        <v>68</v>
      </c>
      <c r="D481" s="2" t="s">
        <v>603</v>
      </c>
      <c r="E481" s="2" t="s">
        <v>731</v>
      </c>
      <c r="F481" s="2" t="s">
        <v>602</v>
      </c>
    </row>
    <row r="482" customFormat="false" ht="15" hidden="false" customHeight="false" outlineLevel="0" collapsed="false">
      <c r="A482" s="2" t="n">
        <v>481</v>
      </c>
      <c r="B482" s="2" t="s">
        <v>12</v>
      </c>
      <c r="C482" s="2" t="s">
        <v>7</v>
      </c>
      <c r="D482" s="2" t="s">
        <v>790</v>
      </c>
      <c r="E482" s="2" t="s">
        <v>791</v>
      </c>
      <c r="F482" s="2" t="s">
        <v>12</v>
      </c>
    </row>
    <row r="483" customFormat="false" ht="15" hidden="false" customHeight="false" outlineLevel="0" collapsed="false">
      <c r="A483" s="2" t="n">
        <v>482</v>
      </c>
      <c r="B483" s="2" t="s">
        <v>153</v>
      </c>
      <c r="C483" s="2" t="s">
        <v>7</v>
      </c>
      <c r="D483" s="2" t="s">
        <v>792</v>
      </c>
      <c r="E483" s="2" t="s">
        <v>791</v>
      </c>
      <c r="F483" s="2" t="s">
        <v>155</v>
      </c>
    </row>
    <row r="484" customFormat="false" ht="15" hidden="false" customHeight="false" outlineLevel="0" collapsed="false">
      <c r="A484" s="2" t="n">
        <v>483</v>
      </c>
      <c r="B484" s="2" t="s">
        <v>6</v>
      </c>
      <c r="C484" s="2" t="s">
        <v>7</v>
      </c>
      <c r="D484" s="2" t="s">
        <v>793</v>
      </c>
      <c r="E484" s="2" t="s">
        <v>791</v>
      </c>
      <c r="F484" s="2" t="s">
        <v>6</v>
      </c>
    </row>
    <row r="485" customFormat="false" ht="15" hidden="false" customHeight="false" outlineLevel="0" collapsed="false">
      <c r="A485" s="2" t="n">
        <v>484</v>
      </c>
      <c r="B485" s="2" t="s">
        <v>14</v>
      </c>
      <c r="C485" s="2" t="s">
        <v>7</v>
      </c>
      <c r="D485" s="2" t="s">
        <v>162</v>
      </c>
      <c r="E485" s="2" t="s">
        <v>791</v>
      </c>
      <c r="F485" s="2" t="s">
        <v>14</v>
      </c>
    </row>
    <row r="486" customFormat="false" ht="15" hidden="false" customHeight="false" outlineLevel="0" collapsed="false">
      <c r="A486" s="2" t="n">
        <v>485</v>
      </c>
      <c r="B486" s="2" t="s">
        <v>16</v>
      </c>
      <c r="C486" s="2" t="s">
        <v>7</v>
      </c>
      <c r="D486" s="2" t="s">
        <v>161</v>
      </c>
      <c r="E486" s="2" t="s">
        <v>791</v>
      </c>
      <c r="F486" s="2" t="s">
        <v>16</v>
      </c>
    </row>
    <row r="487" customFormat="false" ht="15" hidden="false" customHeight="false" outlineLevel="0" collapsed="false">
      <c r="A487" s="2" t="n">
        <v>486</v>
      </c>
      <c r="B487" s="2" t="s">
        <v>18</v>
      </c>
      <c r="C487" s="2" t="s">
        <v>7</v>
      </c>
      <c r="D487" s="2" t="s">
        <v>794</v>
      </c>
      <c r="E487" s="2" t="s">
        <v>791</v>
      </c>
      <c r="F487" s="2" t="s">
        <v>18</v>
      </c>
    </row>
    <row r="488" customFormat="false" ht="15" hidden="false" customHeight="false" outlineLevel="0" collapsed="false">
      <c r="A488" s="2" t="n">
        <v>487</v>
      </c>
      <c r="B488" s="2" t="s">
        <v>20</v>
      </c>
      <c r="C488" s="2" t="s">
        <v>7</v>
      </c>
      <c r="D488" s="2" t="s">
        <v>571</v>
      </c>
      <c r="E488" s="2" t="s">
        <v>791</v>
      </c>
      <c r="F488" s="2" t="s">
        <v>20</v>
      </c>
    </row>
    <row r="489" customFormat="false" ht="15" hidden="false" customHeight="false" outlineLevel="0" collapsed="false">
      <c r="A489" s="2" t="n">
        <v>488</v>
      </c>
      <c r="B489" s="2" t="s">
        <v>22</v>
      </c>
      <c r="C489" s="2" t="s">
        <v>7</v>
      </c>
      <c r="D489" s="2" t="s">
        <v>795</v>
      </c>
      <c r="E489" s="2" t="s">
        <v>791</v>
      </c>
      <c r="F489" s="2" t="s">
        <v>22</v>
      </c>
    </row>
    <row r="490" customFormat="false" ht="15" hidden="false" customHeight="false" outlineLevel="0" collapsed="false">
      <c r="A490" s="2" t="n">
        <v>489</v>
      </c>
      <c r="B490" s="2" t="s">
        <v>24</v>
      </c>
      <c r="C490" s="2" t="s">
        <v>7</v>
      </c>
      <c r="D490" s="2" t="s">
        <v>796</v>
      </c>
      <c r="E490" s="2" t="s">
        <v>791</v>
      </c>
      <c r="F490" s="2" t="s">
        <v>24</v>
      </c>
    </row>
    <row r="491" customFormat="false" ht="15" hidden="false" customHeight="false" outlineLevel="0" collapsed="false">
      <c r="A491" s="2" t="n">
        <v>490</v>
      </c>
      <c r="B491" s="2" t="s">
        <v>26</v>
      </c>
      <c r="C491" s="2" t="s">
        <v>7</v>
      </c>
      <c r="D491" s="2" t="s">
        <v>797</v>
      </c>
      <c r="E491" s="2" t="s">
        <v>791</v>
      </c>
      <c r="F491" s="2" t="s">
        <v>26</v>
      </c>
    </row>
    <row r="492" customFormat="false" ht="15" hidden="false" customHeight="false" outlineLevel="0" collapsed="false">
      <c r="A492" s="2" t="n">
        <v>491</v>
      </c>
      <c r="B492" s="2" t="s">
        <v>27</v>
      </c>
      <c r="C492" s="2" t="s">
        <v>7</v>
      </c>
      <c r="D492" s="2" t="s">
        <v>798</v>
      </c>
      <c r="E492" s="2" t="s">
        <v>791</v>
      </c>
      <c r="F492" s="2" t="s">
        <v>27</v>
      </c>
    </row>
    <row r="493" customFormat="false" ht="15" hidden="false" customHeight="false" outlineLevel="0" collapsed="false">
      <c r="A493" s="2" t="n">
        <v>492</v>
      </c>
      <c r="B493" s="2" t="s">
        <v>40</v>
      </c>
      <c r="C493" s="2" t="s">
        <v>7</v>
      </c>
      <c r="D493" s="2" t="s">
        <v>799</v>
      </c>
      <c r="E493" s="2" t="s">
        <v>791</v>
      </c>
      <c r="F493" s="2" t="s">
        <v>40</v>
      </c>
    </row>
    <row r="494" customFormat="false" ht="15" hidden="false" customHeight="false" outlineLevel="0" collapsed="false">
      <c r="A494" s="2" t="n">
        <v>493</v>
      </c>
      <c r="B494" s="2" t="s">
        <v>36</v>
      </c>
      <c r="C494" s="2" t="s">
        <v>7</v>
      </c>
      <c r="D494" s="2" t="s">
        <v>800</v>
      </c>
      <c r="E494" s="2" t="s">
        <v>791</v>
      </c>
      <c r="F494" s="2" t="s">
        <v>36</v>
      </c>
    </row>
    <row r="495" customFormat="false" ht="15" hidden="false" customHeight="false" outlineLevel="0" collapsed="false">
      <c r="A495" s="2" t="n">
        <v>494</v>
      </c>
      <c r="B495" s="2" t="s">
        <v>801</v>
      </c>
      <c r="C495" s="2" t="s">
        <v>7</v>
      </c>
      <c r="D495" s="2" t="s">
        <v>802</v>
      </c>
      <c r="E495" s="2" t="s">
        <v>791</v>
      </c>
      <c r="F495" s="2" t="s">
        <v>801</v>
      </c>
    </row>
    <row r="496" customFormat="false" ht="15" hidden="false" customHeight="false" outlineLevel="0" collapsed="false">
      <c r="A496" s="2" t="n">
        <v>495</v>
      </c>
      <c r="B496" s="2" t="s">
        <v>262</v>
      </c>
      <c r="C496" s="2" t="s">
        <v>7</v>
      </c>
      <c r="D496" s="2" t="s">
        <v>803</v>
      </c>
      <c r="E496" s="2" t="s">
        <v>791</v>
      </c>
      <c r="F496" s="2" t="s">
        <v>262</v>
      </c>
    </row>
    <row r="497" customFormat="false" ht="15" hidden="false" customHeight="false" outlineLevel="0" collapsed="false">
      <c r="A497" s="2" t="n">
        <v>496</v>
      </c>
      <c r="B497" s="2" t="s">
        <v>804</v>
      </c>
      <c r="C497" s="2" t="s">
        <v>7</v>
      </c>
      <c r="D497" s="2" t="s">
        <v>805</v>
      </c>
      <c r="E497" s="2" t="s">
        <v>791</v>
      </c>
      <c r="F497" s="2" t="s">
        <v>804</v>
      </c>
    </row>
    <row r="498" customFormat="false" ht="15" hidden="false" customHeight="false" outlineLevel="0" collapsed="false">
      <c r="A498" s="2" t="n">
        <v>497</v>
      </c>
      <c r="B498" s="2" t="s">
        <v>806</v>
      </c>
      <c r="C498" s="2" t="s">
        <v>7</v>
      </c>
      <c r="D498" s="2" t="s">
        <v>807</v>
      </c>
      <c r="E498" s="2" t="s">
        <v>791</v>
      </c>
      <c r="F498" s="2" t="s">
        <v>806</v>
      </c>
    </row>
    <row r="499" customFormat="false" ht="15" hidden="false" customHeight="false" outlineLevel="0" collapsed="false">
      <c r="A499" s="2" t="n">
        <v>498</v>
      </c>
      <c r="B499" s="2" t="s">
        <v>808</v>
      </c>
      <c r="C499" s="2" t="s">
        <v>7</v>
      </c>
      <c r="D499" s="2" t="s">
        <v>807</v>
      </c>
      <c r="E499" s="2" t="s">
        <v>791</v>
      </c>
      <c r="F499" s="2" t="s">
        <v>808</v>
      </c>
    </row>
    <row r="500" customFormat="false" ht="15" hidden="false" customHeight="false" outlineLevel="0" collapsed="false">
      <c r="A500" s="2" t="n">
        <v>499</v>
      </c>
      <c r="B500" s="2" t="s">
        <v>809</v>
      </c>
      <c r="C500" s="2" t="s">
        <v>7</v>
      </c>
      <c r="D500" s="2" t="s">
        <v>807</v>
      </c>
      <c r="E500" s="2" t="s">
        <v>791</v>
      </c>
      <c r="F500" s="2" t="s">
        <v>809</v>
      </c>
    </row>
    <row r="501" customFormat="false" ht="15" hidden="false" customHeight="false" outlineLevel="0" collapsed="false">
      <c r="A501" s="2" t="n">
        <v>500</v>
      </c>
      <c r="B501" s="2" t="s">
        <v>810</v>
      </c>
      <c r="C501" s="2" t="s">
        <v>7</v>
      </c>
      <c r="D501" s="2" t="s">
        <v>807</v>
      </c>
      <c r="E501" s="2" t="s">
        <v>791</v>
      </c>
      <c r="F501" s="2" t="s">
        <v>810</v>
      </c>
    </row>
    <row r="502" customFormat="false" ht="15" hidden="false" customHeight="false" outlineLevel="0" collapsed="false">
      <c r="A502" s="2" t="n">
        <v>501</v>
      </c>
      <c r="B502" s="2" t="s">
        <v>811</v>
      </c>
      <c r="C502" s="2" t="s">
        <v>7</v>
      </c>
      <c r="D502" s="2" t="s">
        <v>812</v>
      </c>
      <c r="E502" s="2" t="s">
        <v>791</v>
      </c>
      <c r="F502" s="2" t="s">
        <v>811</v>
      </c>
    </row>
    <row r="503" customFormat="false" ht="15" hidden="false" customHeight="false" outlineLevel="0" collapsed="false">
      <c r="A503" s="2" t="n">
        <v>502</v>
      </c>
      <c r="B503" s="2" t="s">
        <v>53</v>
      </c>
      <c r="C503" s="2" t="s">
        <v>7</v>
      </c>
      <c r="D503" s="2" t="s">
        <v>813</v>
      </c>
      <c r="E503" s="2" t="s">
        <v>791</v>
      </c>
      <c r="F503" s="2" t="s">
        <v>53</v>
      </c>
    </row>
    <row r="504" customFormat="false" ht="15" hidden="false" customHeight="false" outlineLevel="0" collapsed="false">
      <c r="A504" s="2" t="n">
        <v>503</v>
      </c>
      <c r="B504" s="2" t="s">
        <v>29</v>
      </c>
      <c r="C504" s="2" t="s">
        <v>7</v>
      </c>
      <c r="D504" s="2" t="s">
        <v>814</v>
      </c>
      <c r="E504" s="2" t="s">
        <v>791</v>
      </c>
      <c r="F504" s="2" t="s">
        <v>29</v>
      </c>
    </row>
    <row r="505" customFormat="false" ht="15" hidden="false" customHeight="false" outlineLevel="0" collapsed="false">
      <c r="A505" s="2" t="n">
        <v>504</v>
      </c>
      <c r="B505" s="2" t="s">
        <v>815</v>
      </c>
      <c r="C505" s="2" t="s">
        <v>7</v>
      </c>
      <c r="D505" s="2" t="s">
        <v>816</v>
      </c>
      <c r="E505" s="2" t="s">
        <v>791</v>
      </c>
      <c r="F505" s="2" t="s">
        <v>815</v>
      </c>
    </row>
    <row r="506" customFormat="false" ht="15" hidden="false" customHeight="false" outlineLevel="0" collapsed="false">
      <c r="A506" s="2" t="n">
        <v>505</v>
      </c>
      <c r="B506" s="2" t="s">
        <v>335</v>
      </c>
      <c r="C506" s="2" t="s">
        <v>7</v>
      </c>
      <c r="D506" s="2" t="s">
        <v>816</v>
      </c>
      <c r="E506" s="2" t="s">
        <v>791</v>
      </c>
      <c r="F506" s="2" t="s">
        <v>335</v>
      </c>
    </row>
    <row r="507" customFormat="false" ht="15" hidden="false" customHeight="false" outlineLevel="0" collapsed="false">
      <c r="A507" s="2" t="n">
        <v>506</v>
      </c>
      <c r="B507" s="2" t="s">
        <v>817</v>
      </c>
      <c r="C507" s="2" t="s">
        <v>7</v>
      </c>
      <c r="D507" s="2" t="s">
        <v>818</v>
      </c>
      <c r="E507" s="2" t="s">
        <v>791</v>
      </c>
      <c r="F507" s="2" t="s">
        <v>817</v>
      </c>
    </row>
    <row r="508" customFormat="false" ht="15" hidden="false" customHeight="false" outlineLevel="0" collapsed="false">
      <c r="A508" s="2" t="n">
        <v>507</v>
      </c>
      <c r="B508" s="2" t="s">
        <v>819</v>
      </c>
      <c r="C508" s="2" t="s">
        <v>7</v>
      </c>
      <c r="D508" s="2" t="s">
        <v>820</v>
      </c>
      <c r="E508" s="2" t="s">
        <v>791</v>
      </c>
      <c r="F508" s="2" t="s">
        <v>819</v>
      </c>
    </row>
    <row r="509" customFormat="false" ht="15" hidden="false" customHeight="false" outlineLevel="0" collapsed="false">
      <c r="A509" s="2" t="n">
        <v>508</v>
      </c>
      <c r="B509" s="2" t="s">
        <v>821</v>
      </c>
      <c r="C509" s="2" t="s">
        <v>7</v>
      </c>
      <c r="D509" s="2" t="s">
        <v>822</v>
      </c>
      <c r="E509" s="2" t="s">
        <v>791</v>
      </c>
      <c r="F509" s="2" t="s">
        <v>821</v>
      </c>
    </row>
    <row r="510" customFormat="false" ht="15" hidden="false" customHeight="false" outlineLevel="0" collapsed="false">
      <c r="A510" s="2" t="n">
        <v>509</v>
      </c>
      <c r="B510" s="2" t="s">
        <v>823</v>
      </c>
      <c r="C510" s="2" t="s">
        <v>7</v>
      </c>
      <c r="D510" s="2" t="s">
        <v>824</v>
      </c>
      <c r="E510" s="2" t="s">
        <v>791</v>
      </c>
      <c r="F510" s="2" t="s">
        <v>823</v>
      </c>
    </row>
    <row r="511" customFormat="false" ht="15" hidden="false" customHeight="false" outlineLevel="0" collapsed="false">
      <c r="A511" s="2" t="n">
        <v>510</v>
      </c>
      <c r="B511" s="2" t="s">
        <v>825</v>
      </c>
      <c r="C511" s="2" t="s">
        <v>7</v>
      </c>
      <c r="D511" s="2" t="s">
        <v>824</v>
      </c>
      <c r="E511" s="2" t="s">
        <v>791</v>
      </c>
      <c r="F511" s="2" t="s">
        <v>825</v>
      </c>
    </row>
    <row r="512" customFormat="false" ht="15" hidden="false" customHeight="false" outlineLevel="0" collapsed="false">
      <c r="A512" s="2" t="n">
        <v>511</v>
      </c>
      <c r="B512" s="2" t="s">
        <v>349</v>
      </c>
      <c r="C512" s="2" t="s">
        <v>7</v>
      </c>
      <c r="D512" s="2" t="s">
        <v>826</v>
      </c>
      <c r="E512" s="2" t="s">
        <v>791</v>
      </c>
      <c r="F512" s="2" t="s">
        <v>349</v>
      </c>
    </row>
    <row r="513" customFormat="false" ht="15" hidden="false" customHeight="false" outlineLevel="0" collapsed="false">
      <c r="A513" s="2" t="n">
        <v>512</v>
      </c>
      <c r="B513" s="2" t="s">
        <v>827</v>
      </c>
      <c r="C513" s="2" t="s">
        <v>7</v>
      </c>
      <c r="D513" s="2" t="s">
        <v>826</v>
      </c>
      <c r="E513" s="2" t="s">
        <v>791</v>
      </c>
      <c r="F513" s="2" t="s">
        <v>827</v>
      </c>
    </row>
    <row r="514" customFormat="false" ht="15" hidden="false" customHeight="false" outlineLevel="0" collapsed="false">
      <c r="A514" s="2" t="n">
        <v>513</v>
      </c>
      <c r="B514" s="2" t="s">
        <v>828</v>
      </c>
      <c r="C514" s="2" t="s">
        <v>7</v>
      </c>
      <c r="D514" s="2" t="s">
        <v>826</v>
      </c>
      <c r="E514" s="2" t="s">
        <v>791</v>
      </c>
      <c r="F514" s="2" t="s">
        <v>828</v>
      </c>
    </row>
    <row r="515" customFormat="false" ht="15" hidden="false" customHeight="false" outlineLevel="0" collapsed="false">
      <c r="A515" s="2" t="n">
        <v>514</v>
      </c>
      <c r="B515" s="2" t="s">
        <v>829</v>
      </c>
      <c r="C515" s="2" t="s">
        <v>7</v>
      </c>
      <c r="D515" s="2" t="s">
        <v>830</v>
      </c>
      <c r="E515" s="2" t="s">
        <v>791</v>
      </c>
      <c r="F515" s="2" t="s">
        <v>829</v>
      </c>
    </row>
    <row r="516" customFormat="false" ht="15" hidden="false" customHeight="false" outlineLevel="0" collapsed="false">
      <c r="A516" s="2" t="n">
        <v>515</v>
      </c>
      <c r="B516" s="2" t="s">
        <v>831</v>
      </c>
      <c r="C516" s="2" t="s">
        <v>7</v>
      </c>
      <c r="D516" s="2" t="s">
        <v>830</v>
      </c>
      <c r="E516" s="2" t="s">
        <v>791</v>
      </c>
      <c r="F516" s="2" t="s">
        <v>831</v>
      </c>
    </row>
    <row r="517" customFormat="false" ht="15" hidden="false" customHeight="false" outlineLevel="0" collapsed="false">
      <c r="A517" s="2" t="n">
        <v>516</v>
      </c>
      <c r="B517" s="2" t="s">
        <v>832</v>
      </c>
      <c r="C517" s="2" t="s">
        <v>7</v>
      </c>
      <c r="D517" s="2" t="s">
        <v>833</v>
      </c>
      <c r="E517" s="2" t="s">
        <v>791</v>
      </c>
      <c r="F517" s="2" t="s">
        <v>832</v>
      </c>
    </row>
    <row r="518" customFormat="false" ht="15" hidden="false" customHeight="false" outlineLevel="0" collapsed="false">
      <c r="A518" s="2" t="n">
        <v>517</v>
      </c>
      <c r="B518" s="2" t="s">
        <v>82</v>
      </c>
      <c r="C518" s="2" t="s">
        <v>68</v>
      </c>
      <c r="D518" s="2" t="s">
        <v>197</v>
      </c>
      <c r="E518" s="2" t="s">
        <v>791</v>
      </c>
      <c r="F518" s="2" t="s">
        <v>82</v>
      </c>
    </row>
    <row r="519" customFormat="false" ht="15" hidden="false" customHeight="false" outlineLevel="0" collapsed="false">
      <c r="A519" s="2" t="n">
        <v>518</v>
      </c>
      <c r="B519" s="2" t="s">
        <v>834</v>
      </c>
      <c r="C519" s="2" t="s">
        <v>68</v>
      </c>
      <c r="D519" s="2" t="s">
        <v>835</v>
      </c>
      <c r="E519" s="2" t="s">
        <v>791</v>
      </c>
      <c r="F519" s="2" t="s">
        <v>85</v>
      </c>
    </row>
    <row r="520" customFormat="false" ht="15" hidden="false" customHeight="false" outlineLevel="0" collapsed="false">
      <c r="A520" s="2" t="n">
        <v>519</v>
      </c>
      <c r="B520" s="2" t="s">
        <v>836</v>
      </c>
      <c r="C520" s="2" t="s">
        <v>68</v>
      </c>
      <c r="D520" s="2" t="s">
        <v>837</v>
      </c>
      <c r="E520" s="2" t="s">
        <v>791</v>
      </c>
      <c r="F520" s="2" t="s">
        <v>73</v>
      </c>
    </row>
    <row r="521" customFormat="false" ht="15" hidden="false" customHeight="false" outlineLevel="0" collapsed="false">
      <c r="A521" s="2" t="n">
        <v>520</v>
      </c>
      <c r="B521" s="2" t="s">
        <v>86</v>
      </c>
      <c r="C521" s="2" t="s">
        <v>68</v>
      </c>
      <c r="D521" s="2" t="s">
        <v>838</v>
      </c>
      <c r="E521" s="2" t="s">
        <v>791</v>
      </c>
      <c r="F521" s="2" t="s">
        <v>86</v>
      </c>
    </row>
    <row r="522" customFormat="false" ht="15" hidden="false" customHeight="false" outlineLevel="0" collapsed="false">
      <c r="A522" s="2" t="n">
        <v>521</v>
      </c>
      <c r="B522" s="2" t="s">
        <v>88</v>
      </c>
      <c r="C522" s="2" t="s">
        <v>68</v>
      </c>
      <c r="D522" s="2" t="s">
        <v>839</v>
      </c>
      <c r="E522" s="2" t="s">
        <v>791</v>
      </c>
      <c r="F522" s="2" t="s">
        <v>90</v>
      </c>
    </row>
    <row r="523" customFormat="false" ht="15" hidden="false" customHeight="false" outlineLevel="0" collapsed="false">
      <c r="A523" s="2" t="n">
        <v>522</v>
      </c>
      <c r="B523" s="2" t="s">
        <v>840</v>
      </c>
      <c r="C523" s="2" t="s">
        <v>68</v>
      </c>
      <c r="D523" s="2" t="s">
        <v>841</v>
      </c>
      <c r="E523" s="2" t="s">
        <v>791</v>
      </c>
      <c r="F523" s="2" t="s">
        <v>97</v>
      </c>
    </row>
    <row r="524" customFormat="false" ht="15" hidden="false" customHeight="false" outlineLevel="0" collapsed="false">
      <c r="A524" s="2" t="n">
        <v>523</v>
      </c>
      <c r="B524" s="2" t="s">
        <v>842</v>
      </c>
      <c r="C524" s="2" t="s">
        <v>68</v>
      </c>
      <c r="D524" s="2" t="s">
        <v>843</v>
      </c>
      <c r="E524" s="2" t="s">
        <v>791</v>
      </c>
      <c r="F524" s="2" t="s">
        <v>100</v>
      </c>
    </row>
    <row r="525" customFormat="false" ht="15" hidden="false" customHeight="false" outlineLevel="0" collapsed="false">
      <c r="A525" s="2" t="n">
        <v>524</v>
      </c>
      <c r="B525" s="2" t="s">
        <v>844</v>
      </c>
      <c r="C525" s="2" t="s">
        <v>68</v>
      </c>
      <c r="D525" s="2" t="s">
        <v>845</v>
      </c>
      <c r="E525" s="2" t="s">
        <v>791</v>
      </c>
      <c r="F525" s="2" t="s">
        <v>242</v>
      </c>
    </row>
    <row r="526" customFormat="false" ht="15" hidden="false" customHeight="false" outlineLevel="0" collapsed="false">
      <c r="A526" s="2" t="n">
        <v>525</v>
      </c>
      <c r="B526" s="2" t="s">
        <v>846</v>
      </c>
      <c r="C526" s="2" t="s">
        <v>68</v>
      </c>
      <c r="D526" s="2" t="s">
        <v>847</v>
      </c>
      <c r="E526" s="2" t="s">
        <v>791</v>
      </c>
      <c r="F526" s="2" t="s">
        <v>675</v>
      </c>
    </row>
    <row r="527" customFormat="false" ht="15" hidden="false" customHeight="false" outlineLevel="0" collapsed="false">
      <c r="A527" s="2" t="n">
        <v>526</v>
      </c>
      <c r="B527" s="2" t="s">
        <v>848</v>
      </c>
      <c r="C527" s="2" t="s">
        <v>68</v>
      </c>
      <c r="D527" s="2" t="s">
        <v>849</v>
      </c>
      <c r="E527" s="2" t="s">
        <v>791</v>
      </c>
      <c r="F527" s="2" t="s">
        <v>208</v>
      </c>
    </row>
    <row r="528" customFormat="false" ht="15" hidden="false" customHeight="false" outlineLevel="0" collapsed="false">
      <c r="A528" s="2" t="n">
        <v>527</v>
      </c>
      <c r="B528" s="2" t="s">
        <v>850</v>
      </c>
      <c r="C528" s="2" t="s">
        <v>68</v>
      </c>
      <c r="D528" s="2" t="s">
        <v>851</v>
      </c>
      <c r="E528" s="2" t="s">
        <v>791</v>
      </c>
      <c r="F528" s="2" t="s">
        <v>116</v>
      </c>
    </row>
    <row r="529" customFormat="false" ht="15" hidden="false" customHeight="false" outlineLevel="0" collapsed="false">
      <c r="A529" s="2" t="n">
        <v>528</v>
      </c>
      <c r="B529" s="2" t="s">
        <v>852</v>
      </c>
      <c r="C529" s="2" t="s">
        <v>68</v>
      </c>
      <c r="D529" s="2" t="s">
        <v>853</v>
      </c>
      <c r="E529" s="2" t="s">
        <v>791</v>
      </c>
      <c r="F529" s="2" t="s">
        <v>852</v>
      </c>
    </row>
    <row r="530" customFormat="false" ht="15" hidden="false" customHeight="false" outlineLevel="0" collapsed="false">
      <c r="A530" s="2" t="n">
        <v>529</v>
      </c>
      <c r="B530" s="2" t="s">
        <v>854</v>
      </c>
      <c r="C530" s="2" t="s">
        <v>68</v>
      </c>
      <c r="D530" s="2" t="s">
        <v>855</v>
      </c>
      <c r="E530" s="2" t="s">
        <v>791</v>
      </c>
      <c r="F530" s="2" t="s">
        <v>238</v>
      </c>
    </row>
    <row r="531" customFormat="false" ht="15" hidden="false" customHeight="false" outlineLevel="0" collapsed="false">
      <c r="A531" s="2" t="n">
        <v>530</v>
      </c>
      <c r="B531" s="2" t="s">
        <v>856</v>
      </c>
      <c r="C531" s="2" t="s">
        <v>68</v>
      </c>
      <c r="D531" s="2" t="s">
        <v>689</v>
      </c>
      <c r="E531" s="2" t="s">
        <v>791</v>
      </c>
      <c r="F531" s="2" t="s">
        <v>133</v>
      </c>
    </row>
    <row r="532" customFormat="false" ht="15" hidden="false" customHeight="false" outlineLevel="0" collapsed="false">
      <c r="A532" s="2" t="n">
        <v>531</v>
      </c>
      <c r="B532" s="2" t="s">
        <v>857</v>
      </c>
      <c r="C532" s="2" t="s">
        <v>68</v>
      </c>
      <c r="D532" s="2" t="s">
        <v>858</v>
      </c>
      <c r="E532" s="2" t="s">
        <v>791</v>
      </c>
      <c r="F532" s="2" t="s">
        <v>141</v>
      </c>
    </row>
    <row r="533" customFormat="false" ht="15" hidden="false" customHeight="false" outlineLevel="0" collapsed="false">
      <c r="A533" s="2" t="n">
        <v>532</v>
      </c>
      <c r="B533" s="2" t="s">
        <v>859</v>
      </c>
      <c r="C533" s="2" t="s">
        <v>68</v>
      </c>
      <c r="D533" s="2" t="s">
        <v>860</v>
      </c>
      <c r="E533" s="2" t="s">
        <v>791</v>
      </c>
      <c r="F533" s="2" t="s">
        <v>127</v>
      </c>
    </row>
    <row r="534" customFormat="false" ht="15" hidden="false" customHeight="false" outlineLevel="0" collapsed="false">
      <c r="A534" s="2" t="n">
        <v>533</v>
      </c>
      <c r="B534" s="2" t="s">
        <v>802</v>
      </c>
      <c r="C534" s="2" t="s">
        <v>68</v>
      </c>
      <c r="D534" s="2" t="s">
        <v>861</v>
      </c>
      <c r="E534" s="2" t="s">
        <v>791</v>
      </c>
      <c r="F534" s="2" t="s">
        <v>802</v>
      </c>
    </row>
    <row r="535" customFormat="false" ht="15" hidden="false" customHeight="false" outlineLevel="0" collapsed="false">
      <c r="A535" s="2" t="n">
        <v>534</v>
      </c>
      <c r="B535" s="2" t="s">
        <v>862</v>
      </c>
      <c r="C535" s="2" t="s">
        <v>68</v>
      </c>
      <c r="D535" s="2" t="s">
        <v>863</v>
      </c>
      <c r="E535" s="2" t="s">
        <v>791</v>
      </c>
      <c r="F535" s="2" t="s">
        <v>862</v>
      </c>
    </row>
    <row r="536" customFormat="false" ht="15" hidden="false" customHeight="false" outlineLevel="0" collapsed="false">
      <c r="A536" s="2" t="n">
        <v>535</v>
      </c>
      <c r="B536" s="2" t="s">
        <v>864</v>
      </c>
      <c r="C536" s="2" t="s">
        <v>68</v>
      </c>
      <c r="D536" s="2" t="s">
        <v>865</v>
      </c>
      <c r="E536" s="2" t="s">
        <v>791</v>
      </c>
      <c r="F536" s="2" t="s">
        <v>864</v>
      </c>
    </row>
    <row r="537" customFormat="false" ht="15" hidden="false" customHeight="false" outlineLevel="0" collapsed="false">
      <c r="A537" s="2" t="n">
        <v>536</v>
      </c>
      <c r="B537" s="2" t="s">
        <v>866</v>
      </c>
      <c r="C537" s="2" t="s">
        <v>68</v>
      </c>
      <c r="D537" s="2" t="s">
        <v>867</v>
      </c>
      <c r="E537" s="2" t="s">
        <v>791</v>
      </c>
      <c r="F537" s="2" t="s">
        <v>238</v>
      </c>
    </row>
    <row r="538" customFormat="false" ht="15" hidden="false" customHeight="false" outlineLevel="0" collapsed="false">
      <c r="A538" s="2" t="n">
        <v>537</v>
      </c>
      <c r="B538" s="2" t="s">
        <v>868</v>
      </c>
      <c r="C538" s="2" t="s">
        <v>68</v>
      </c>
      <c r="D538" s="2" t="s">
        <v>869</v>
      </c>
      <c r="E538" s="2" t="s">
        <v>791</v>
      </c>
      <c r="F538" s="2" t="s">
        <v>868</v>
      </c>
    </row>
    <row r="539" customFormat="false" ht="15" hidden="false" customHeight="false" outlineLevel="0" collapsed="false">
      <c r="A539" s="2" t="n">
        <v>538</v>
      </c>
      <c r="B539" s="2" t="s">
        <v>870</v>
      </c>
      <c r="C539" s="2" t="s">
        <v>68</v>
      </c>
      <c r="D539" s="2" t="s">
        <v>871</v>
      </c>
      <c r="E539" s="2" t="s">
        <v>791</v>
      </c>
      <c r="F539" s="2" t="s">
        <v>432</v>
      </c>
    </row>
    <row r="540" customFormat="false" ht="15" hidden="false" customHeight="false" outlineLevel="0" collapsed="false">
      <c r="A540" s="2" t="n">
        <v>539</v>
      </c>
      <c r="B540" s="2" t="s">
        <v>872</v>
      </c>
      <c r="C540" s="2" t="s">
        <v>68</v>
      </c>
      <c r="D540" s="2" t="s">
        <v>873</v>
      </c>
      <c r="E540" s="2" t="s">
        <v>791</v>
      </c>
      <c r="F540" s="2" t="s">
        <v>606</v>
      </c>
    </row>
    <row r="541" customFormat="false" ht="15" hidden="false" customHeight="false" outlineLevel="0" collapsed="false">
      <c r="A541" s="2" t="n">
        <v>540</v>
      </c>
      <c r="B541" s="2" t="s">
        <v>874</v>
      </c>
      <c r="C541" s="2" t="s">
        <v>68</v>
      </c>
      <c r="D541" s="2" t="s">
        <v>875</v>
      </c>
      <c r="E541" s="2" t="s">
        <v>791</v>
      </c>
      <c r="F541" s="2" t="s">
        <v>200</v>
      </c>
    </row>
    <row r="542" customFormat="false" ht="15" hidden="false" customHeight="false" outlineLevel="0" collapsed="false">
      <c r="A542" s="2" t="n">
        <v>541</v>
      </c>
      <c r="B542" s="2" t="s">
        <v>797</v>
      </c>
      <c r="C542" s="2" t="s">
        <v>68</v>
      </c>
      <c r="D542" s="2" t="s">
        <v>876</v>
      </c>
      <c r="E542" s="2" t="s">
        <v>791</v>
      </c>
      <c r="F542" s="2" t="s">
        <v>245</v>
      </c>
    </row>
    <row r="543" customFormat="false" ht="15" hidden="false" customHeight="false" outlineLevel="0" collapsed="false">
      <c r="A543" s="2" t="n">
        <v>542</v>
      </c>
      <c r="B543" s="2" t="s">
        <v>877</v>
      </c>
      <c r="C543" s="2" t="s">
        <v>68</v>
      </c>
      <c r="D543" s="2" t="s">
        <v>878</v>
      </c>
      <c r="E543" s="2" t="s">
        <v>791</v>
      </c>
      <c r="F543" s="2" t="s">
        <v>877</v>
      </c>
    </row>
    <row r="544" customFormat="false" ht="15" hidden="false" customHeight="false" outlineLevel="0" collapsed="false">
      <c r="A544" s="2" t="n">
        <v>543</v>
      </c>
      <c r="B544" s="2" t="s">
        <v>879</v>
      </c>
      <c r="C544" s="2" t="s">
        <v>68</v>
      </c>
      <c r="D544" s="2" t="s">
        <v>880</v>
      </c>
      <c r="E544" s="2" t="s">
        <v>791</v>
      </c>
      <c r="F544" s="2" t="s">
        <v>208</v>
      </c>
    </row>
    <row r="545" customFormat="false" ht="15" hidden="false" customHeight="false" outlineLevel="0" collapsed="false">
      <c r="A545" s="2" t="n">
        <v>544</v>
      </c>
      <c r="B545" s="2" t="s">
        <v>881</v>
      </c>
      <c r="C545" s="2" t="s">
        <v>68</v>
      </c>
      <c r="D545" s="2" t="s">
        <v>882</v>
      </c>
      <c r="E545" s="2" t="s">
        <v>791</v>
      </c>
      <c r="F545" s="2" t="s">
        <v>881</v>
      </c>
    </row>
    <row r="546" customFormat="false" ht="15" hidden="false" customHeight="false" outlineLevel="0" collapsed="false">
      <c r="A546" s="2" t="n">
        <v>545</v>
      </c>
      <c r="B546" s="2" t="s">
        <v>883</v>
      </c>
      <c r="C546" s="2" t="s">
        <v>68</v>
      </c>
      <c r="D546" s="2" t="s">
        <v>884</v>
      </c>
      <c r="E546" s="2" t="s">
        <v>791</v>
      </c>
      <c r="F546" s="2" t="s">
        <v>883</v>
      </c>
    </row>
    <row r="547" customFormat="false" ht="15" hidden="false" customHeight="false" outlineLevel="0" collapsed="false">
      <c r="A547" s="2" t="n">
        <v>546</v>
      </c>
      <c r="B547" s="2" t="s">
        <v>885</v>
      </c>
      <c r="C547" s="2" t="s">
        <v>68</v>
      </c>
      <c r="D547" s="2" t="s">
        <v>886</v>
      </c>
      <c r="E547" s="2" t="s">
        <v>791</v>
      </c>
      <c r="F547" s="2" t="s">
        <v>141</v>
      </c>
    </row>
    <row r="548" customFormat="false" ht="15" hidden="false" customHeight="false" outlineLevel="0" collapsed="false">
      <c r="A548" s="2" t="n">
        <v>547</v>
      </c>
      <c r="B548" s="2" t="s">
        <v>887</v>
      </c>
      <c r="C548" s="2" t="s">
        <v>68</v>
      </c>
      <c r="D548" s="2" t="s">
        <v>888</v>
      </c>
      <c r="E548" s="2" t="s">
        <v>791</v>
      </c>
      <c r="F548" s="2" t="s">
        <v>130</v>
      </c>
    </row>
    <row r="549" customFormat="false" ht="15" hidden="false" customHeight="false" outlineLevel="0" collapsed="false">
      <c r="A549" s="2" t="n">
        <v>548</v>
      </c>
      <c r="B549" s="2" t="s">
        <v>889</v>
      </c>
      <c r="C549" s="2" t="s">
        <v>68</v>
      </c>
      <c r="D549" s="2" t="s">
        <v>890</v>
      </c>
      <c r="E549" s="2" t="s">
        <v>791</v>
      </c>
      <c r="F549" s="2" t="s">
        <v>889</v>
      </c>
    </row>
    <row r="550" customFormat="false" ht="15" hidden="false" customHeight="false" outlineLevel="0" collapsed="false">
      <c r="A550" s="2" t="n">
        <v>549</v>
      </c>
      <c r="B550" s="2" t="s">
        <v>891</v>
      </c>
      <c r="C550" s="2" t="s">
        <v>68</v>
      </c>
      <c r="D550" s="2" t="s">
        <v>892</v>
      </c>
      <c r="E550" s="2" t="s">
        <v>791</v>
      </c>
      <c r="F550" s="2" t="s">
        <v>891</v>
      </c>
    </row>
    <row r="551" customFormat="false" ht="15" hidden="false" customHeight="false" outlineLevel="0" collapsed="false">
      <c r="A551" s="2" t="n">
        <v>550</v>
      </c>
      <c r="B551" s="2" t="s">
        <v>893</v>
      </c>
      <c r="C551" s="2" t="s">
        <v>68</v>
      </c>
      <c r="D551" s="2" t="s">
        <v>894</v>
      </c>
      <c r="E551" s="2" t="s">
        <v>791</v>
      </c>
      <c r="F551" s="2" t="s">
        <v>893</v>
      </c>
    </row>
    <row r="552" customFormat="false" ht="15" hidden="false" customHeight="false" outlineLevel="0" collapsed="false">
      <c r="A552" s="2" t="n">
        <v>551</v>
      </c>
      <c r="B552" s="2" t="s">
        <v>895</v>
      </c>
      <c r="C552" s="2" t="s">
        <v>68</v>
      </c>
      <c r="D552" s="2" t="s">
        <v>896</v>
      </c>
      <c r="E552" s="2" t="s">
        <v>791</v>
      </c>
      <c r="F552" s="2" t="s">
        <v>687</v>
      </c>
    </row>
    <row r="553" customFormat="false" ht="15" hidden="false" customHeight="false" outlineLevel="0" collapsed="false">
      <c r="A553" s="2" t="n">
        <v>552</v>
      </c>
      <c r="B553" s="2" t="s">
        <v>897</v>
      </c>
      <c r="C553" s="2" t="s">
        <v>68</v>
      </c>
      <c r="D553" s="2" t="s">
        <v>898</v>
      </c>
      <c r="E553" s="2" t="s">
        <v>791</v>
      </c>
      <c r="F553" s="2" t="s">
        <v>121</v>
      </c>
    </row>
    <row r="554" customFormat="false" ht="15" hidden="false" customHeight="false" outlineLevel="0" collapsed="false">
      <c r="A554" s="2" t="n">
        <v>553</v>
      </c>
      <c r="B554" s="2" t="s">
        <v>899</v>
      </c>
      <c r="C554" s="2" t="s">
        <v>68</v>
      </c>
      <c r="D554" s="2" t="s">
        <v>900</v>
      </c>
      <c r="E554" s="2" t="s">
        <v>791</v>
      </c>
      <c r="F554" s="2" t="s">
        <v>899</v>
      </c>
    </row>
    <row r="555" customFormat="false" ht="15" hidden="false" customHeight="false" outlineLevel="0" collapsed="false">
      <c r="A555" s="2" t="n">
        <v>554</v>
      </c>
      <c r="B555" s="2" t="s">
        <v>901</v>
      </c>
      <c r="C555" s="2" t="s">
        <v>68</v>
      </c>
      <c r="D555" s="2" t="s">
        <v>902</v>
      </c>
      <c r="E555" s="2" t="s">
        <v>791</v>
      </c>
      <c r="F555" s="2" t="s">
        <v>238</v>
      </c>
    </row>
    <row r="556" customFormat="false" ht="15" hidden="false" customHeight="false" outlineLevel="0" collapsed="false">
      <c r="A556" s="2" t="n">
        <v>555</v>
      </c>
      <c r="B556" s="2" t="s">
        <v>903</v>
      </c>
      <c r="C556" s="2" t="s">
        <v>7</v>
      </c>
      <c r="D556" s="2" t="s">
        <v>904</v>
      </c>
      <c r="E556" s="2" t="s">
        <v>905</v>
      </c>
      <c r="F556" s="2" t="s">
        <v>12</v>
      </c>
    </row>
    <row r="557" customFormat="false" ht="15" hidden="false" customHeight="false" outlineLevel="0" collapsed="false">
      <c r="A557" s="2" t="n">
        <v>556</v>
      </c>
      <c r="B557" s="2" t="s">
        <v>6</v>
      </c>
      <c r="C557" s="2" t="s">
        <v>7</v>
      </c>
      <c r="D557" s="2" t="s">
        <v>906</v>
      </c>
      <c r="E557" s="2" t="s">
        <v>905</v>
      </c>
      <c r="F557" s="2" t="s">
        <v>6</v>
      </c>
    </row>
    <row r="558" customFormat="false" ht="15" hidden="false" customHeight="false" outlineLevel="0" collapsed="false">
      <c r="A558" s="2" t="n">
        <v>557</v>
      </c>
      <c r="B558" s="2" t="s">
        <v>14</v>
      </c>
      <c r="C558" s="2" t="s">
        <v>7</v>
      </c>
      <c r="D558" s="2" t="s">
        <v>162</v>
      </c>
      <c r="E558" s="2" t="s">
        <v>905</v>
      </c>
      <c r="F558" s="2" t="s">
        <v>14</v>
      </c>
    </row>
    <row r="559" customFormat="false" ht="15" hidden="false" customHeight="false" outlineLevel="0" collapsed="false">
      <c r="A559" s="2" t="n">
        <v>558</v>
      </c>
      <c r="B559" s="2" t="s">
        <v>16</v>
      </c>
      <c r="C559" s="2" t="s">
        <v>7</v>
      </c>
      <c r="D559" s="2" t="s">
        <v>907</v>
      </c>
      <c r="E559" s="2" t="s">
        <v>905</v>
      </c>
      <c r="F559" s="2" t="s">
        <v>16</v>
      </c>
    </row>
    <row r="560" customFormat="false" ht="15" hidden="false" customHeight="false" outlineLevel="0" collapsed="false">
      <c r="A560" s="2" t="n">
        <v>559</v>
      </c>
      <c r="B560" s="2" t="s">
        <v>20</v>
      </c>
      <c r="C560" s="2" t="s">
        <v>7</v>
      </c>
      <c r="D560" s="2" t="s">
        <v>908</v>
      </c>
      <c r="E560" s="2" t="s">
        <v>905</v>
      </c>
      <c r="F560" s="2" t="s">
        <v>20</v>
      </c>
    </row>
    <row r="561" customFormat="false" ht="15" hidden="false" customHeight="false" outlineLevel="0" collapsed="false">
      <c r="A561" s="2" t="n">
        <v>560</v>
      </c>
      <c r="B561" s="2" t="s">
        <v>18</v>
      </c>
      <c r="C561" s="2" t="s">
        <v>7</v>
      </c>
      <c r="D561" s="2" t="s">
        <v>909</v>
      </c>
      <c r="E561" s="2" t="s">
        <v>905</v>
      </c>
      <c r="F561" s="2" t="s">
        <v>18</v>
      </c>
    </row>
    <row r="562" customFormat="false" ht="15" hidden="false" customHeight="false" outlineLevel="0" collapsed="false">
      <c r="A562" s="2" t="n">
        <v>561</v>
      </c>
      <c r="B562" s="2" t="s">
        <v>804</v>
      </c>
      <c r="C562" s="2" t="s">
        <v>7</v>
      </c>
      <c r="D562" s="2" t="s">
        <v>910</v>
      </c>
      <c r="E562" s="2" t="s">
        <v>905</v>
      </c>
      <c r="F562" s="2" t="s">
        <v>804</v>
      </c>
    </row>
    <row r="563" customFormat="false" ht="15" hidden="false" customHeight="false" outlineLevel="0" collapsed="false">
      <c r="A563" s="2" t="n">
        <v>562</v>
      </c>
      <c r="B563" s="2" t="s">
        <v>27</v>
      </c>
      <c r="C563" s="2" t="s">
        <v>7</v>
      </c>
      <c r="D563" s="2" t="s">
        <v>911</v>
      </c>
      <c r="E563" s="2" t="s">
        <v>905</v>
      </c>
      <c r="F563" s="2" t="s">
        <v>27</v>
      </c>
    </row>
    <row r="564" customFormat="false" ht="15" hidden="false" customHeight="false" outlineLevel="0" collapsed="false">
      <c r="A564" s="2" t="n">
        <v>563</v>
      </c>
      <c r="B564" s="2" t="s">
        <v>24</v>
      </c>
      <c r="C564" s="2" t="s">
        <v>7</v>
      </c>
      <c r="D564" s="2" t="s">
        <v>912</v>
      </c>
      <c r="E564" s="2" t="s">
        <v>905</v>
      </c>
      <c r="F564" s="2" t="s">
        <v>24</v>
      </c>
    </row>
    <row r="565" customFormat="false" ht="15" hidden="false" customHeight="false" outlineLevel="0" collapsed="false">
      <c r="A565" s="2" t="n">
        <v>564</v>
      </c>
      <c r="B565" s="2" t="s">
        <v>26</v>
      </c>
      <c r="C565" s="2" t="s">
        <v>7</v>
      </c>
      <c r="D565" s="2" t="s">
        <v>912</v>
      </c>
      <c r="E565" s="2" t="s">
        <v>905</v>
      </c>
      <c r="F565" s="2" t="s">
        <v>26</v>
      </c>
    </row>
    <row r="566" customFormat="false" ht="15" hidden="false" customHeight="false" outlineLevel="0" collapsed="false">
      <c r="A566" s="2" t="n">
        <v>565</v>
      </c>
      <c r="B566" s="2" t="s">
        <v>22</v>
      </c>
      <c r="C566" s="2" t="s">
        <v>7</v>
      </c>
      <c r="D566" s="2" t="s">
        <v>912</v>
      </c>
      <c r="E566" s="2" t="s">
        <v>905</v>
      </c>
      <c r="F566" s="2" t="s">
        <v>22</v>
      </c>
    </row>
    <row r="567" customFormat="false" ht="15" hidden="false" customHeight="false" outlineLevel="0" collapsed="false">
      <c r="A567" s="2" t="n">
        <v>566</v>
      </c>
      <c r="B567" s="2" t="s">
        <v>174</v>
      </c>
      <c r="C567" s="2" t="s">
        <v>7</v>
      </c>
      <c r="D567" s="2" t="s">
        <v>913</v>
      </c>
      <c r="E567" s="2" t="s">
        <v>905</v>
      </c>
      <c r="F567" s="2" t="s">
        <v>174</v>
      </c>
    </row>
    <row r="568" customFormat="false" ht="15" hidden="false" customHeight="false" outlineLevel="0" collapsed="false">
      <c r="A568" s="2" t="n">
        <v>567</v>
      </c>
      <c r="B568" s="2" t="s">
        <v>914</v>
      </c>
      <c r="C568" s="2" t="s">
        <v>7</v>
      </c>
      <c r="D568" s="2" t="s">
        <v>915</v>
      </c>
      <c r="E568" s="2" t="s">
        <v>905</v>
      </c>
      <c r="F568" s="2" t="s">
        <v>914</v>
      </c>
    </row>
    <row r="569" customFormat="false" ht="15" hidden="false" customHeight="false" outlineLevel="0" collapsed="false">
      <c r="A569" s="2" t="n">
        <v>568</v>
      </c>
      <c r="B569" s="2" t="s">
        <v>916</v>
      </c>
      <c r="C569" s="2" t="s">
        <v>7</v>
      </c>
      <c r="D569" s="2" t="s">
        <v>917</v>
      </c>
      <c r="E569" s="2" t="s">
        <v>905</v>
      </c>
      <c r="F569" s="2" t="s">
        <v>916</v>
      </c>
    </row>
    <row r="570" customFormat="false" ht="15" hidden="false" customHeight="false" outlineLevel="0" collapsed="false">
      <c r="A570" s="2" t="n">
        <v>569</v>
      </c>
      <c r="B570" s="2" t="s">
        <v>918</v>
      </c>
      <c r="C570" s="2" t="s">
        <v>7</v>
      </c>
      <c r="D570" s="2" t="s">
        <v>917</v>
      </c>
      <c r="E570" s="2" t="s">
        <v>905</v>
      </c>
      <c r="F570" s="2" t="s">
        <v>918</v>
      </c>
    </row>
    <row r="571" customFormat="false" ht="15" hidden="false" customHeight="false" outlineLevel="0" collapsed="false">
      <c r="A571" s="2" t="n">
        <v>570</v>
      </c>
      <c r="B571" s="2" t="s">
        <v>919</v>
      </c>
      <c r="C571" s="2" t="s">
        <v>7</v>
      </c>
      <c r="D571" s="2" t="s">
        <v>917</v>
      </c>
      <c r="E571" s="2" t="s">
        <v>905</v>
      </c>
      <c r="F571" s="2" t="s">
        <v>919</v>
      </c>
    </row>
    <row r="572" customFormat="false" ht="15" hidden="false" customHeight="false" outlineLevel="0" collapsed="false">
      <c r="A572" s="2" t="n">
        <v>571</v>
      </c>
      <c r="B572" s="2" t="s">
        <v>920</v>
      </c>
      <c r="C572" s="2" t="s">
        <v>7</v>
      </c>
      <c r="D572" s="2" t="s">
        <v>921</v>
      </c>
      <c r="E572" s="2" t="s">
        <v>905</v>
      </c>
      <c r="F572" s="2" t="s">
        <v>920</v>
      </c>
    </row>
    <row r="573" customFormat="false" ht="15" hidden="false" customHeight="false" outlineLevel="0" collapsed="false">
      <c r="A573" s="2" t="n">
        <v>572</v>
      </c>
      <c r="B573" s="2" t="s">
        <v>176</v>
      </c>
      <c r="C573" s="2" t="s">
        <v>7</v>
      </c>
      <c r="D573" s="2" t="s">
        <v>922</v>
      </c>
      <c r="E573" s="2" t="s">
        <v>905</v>
      </c>
      <c r="F573" s="2" t="s">
        <v>176</v>
      </c>
    </row>
    <row r="574" customFormat="false" ht="15" hidden="false" customHeight="false" outlineLevel="0" collapsed="false">
      <c r="A574" s="2" t="n">
        <v>573</v>
      </c>
      <c r="B574" s="2" t="s">
        <v>923</v>
      </c>
      <c r="C574" s="2" t="s">
        <v>7</v>
      </c>
      <c r="D574" s="2" t="s">
        <v>924</v>
      </c>
      <c r="E574" s="2" t="s">
        <v>905</v>
      </c>
      <c r="F574" s="2" t="s">
        <v>923</v>
      </c>
    </row>
    <row r="575" customFormat="false" ht="15" hidden="false" customHeight="false" outlineLevel="0" collapsed="false">
      <c r="A575" s="2" t="n">
        <v>574</v>
      </c>
      <c r="B575" s="2" t="s">
        <v>925</v>
      </c>
      <c r="C575" s="2" t="s">
        <v>7</v>
      </c>
      <c r="D575" s="2" t="s">
        <v>926</v>
      </c>
      <c r="E575" s="2" t="s">
        <v>905</v>
      </c>
      <c r="F575" s="2" t="s">
        <v>925</v>
      </c>
    </row>
    <row r="576" customFormat="false" ht="15" hidden="false" customHeight="false" outlineLevel="0" collapsed="false">
      <c r="A576" s="2" t="n">
        <v>575</v>
      </c>
      <c r="B576" s="2" t="s">
        <v>927</v>
      </c>
      <c r="C576" s="2" t="s">
        <v>7</v>
      </c>
      <c r="D576" s="2" t="s">
        <v>926</v>
      </c>
      <c r="E576" s="2" t="s">
        <v>905</v>
      </c>
      <c r="F576" s="2" t="s">
        <v>927</v>
      </c>
    </row>
    <row r="577" customFormat="false" ht="15" hidden="false" customHeight="false" outlineLevel="0" collapsed="false">
      <c r="A577" s="2" t="n">
        <v>576</v>
      </c>
      <c r="B577" s="2" t="s">
        <v>928</v>
      </c>
      <c r="C577" s="2" t="s">
        <v>7</v>
      </c>
      <c r="D577" s="2" t="s">
        <v>926</v>
      </c>
      <c r="E577" s="2" t="s">
        <v>905</v>
      </c>
      <c r="F577" s="2" t="s">
        <v>928</v>
      </c>
    </row>
    <row r="578" customFormat="false" ht="15" hidden="false" customHeight="false" outlineLevel="0" collapsed="false">
      <c r="A578" s="2" t="n">
        <v>577</v>
      </c>
      <c r="B578" s="2" t="s">
        <v>929</v>
      </c>
      <c r="C578" s="2" t="s">
        <v>7</v>
      </c>
      <c r="D578" s="2" t="s">
        <v>930</v>
      </c>
      <c r="E578" s="2" t="s">
        <v>905</v>
      </c>
      <c r="F578" s="2" t="s">
        <v>929</v>
      </c>
    </row>
    <row r="579" customFormat="false" ht="15" hidden="false" customHeight="false" outlineLevel="0" collapsed="false">
      <c r="A579" s="2" t="n">
        <v>578</v>
      </c>
      <c r="B579" s="2" t="s">
        <v>335</v>
      </c>
      <c r="C579" s="2" t="s">
        <v>7</v>
      </c>
      <c r="D579" s="2" t="s">
        <v>336</v>
      </c>
      <c r="E579" s="2" t="s">
        <v>905</v>
      </c>
      <c r="F579" s="2" t="s">
        <v>335</v>
      </c>
    </row>
    <row r="580" customFormat="false" ht="15" hidden="false" customHeight="false" outlineLevel="0" collapsed="false">
      <c r="A580" s="2" t="n">
        <v>579</v>
      </c>
      <c r="B580" s="2" t="s">
        <v>931</v>
      </c>
      <c r="C580" s="2" t="s">
        <v>7</v>
      </c>
      <c r="D580" s="2" t="s">
        <v>932</v>
      </c>
      <c r="E580" s="2" t="s">
        <v>905</v>
      </c>
      <c r="F580" s="2" t="s">
        <v>931</v>
      </c>
    </row>
    <row r="581" customFormat="false" ht="15" hidden="false" customHeight="false" outlineLevel="0" collapsed="false">
      <c r="A581" s="2" t="n">
        <v>580</v>
      </c>
      <c r="B581" s="2" t="s">
        <v>575</v>
      </c>
      <c r="C581" s="2" t="s">
        <v>7</v>
      </c>
      <c r="D581" s="2" t="s">
        <v>933</v>
      </c>
      <c r="E581" s="2" t="s">
        <v>905</v>
      </c>
      <c r="F581" s="2" t="s">
        <v>575</v>
      </c>
    </row>
    <row r="582" customFormat="false" ht="15" hidden="false" customHeight="false" outlineLevel="0" collapsed="false">
      <c r="A582" s="2" t="n">
        <v>581</v>
      </c>
      <c r="B582" s="2" t="s">
        <v>934</v>
      </c>
      <c r="C582" s="2" t="s">
        <v>7</v>
      </c>
      <c r="D582" s="2" t="s">
        <v>935</v>
      </c>
      <c r="E582" s="2" t="s">
        <v>905</v>
      </c>
      <c r="F582" s="2" t="s">
        <v>934</v>
      </c>
    </row>
    <row r="583" customFormat="false" ht="15" hidden="false" customHeight="false" outlineLevel="0" collapsed="false">
      <c r="A583" s="2" t="n">
        <v>582</v>
      </c>
      <c r="B583" s="2" t="s">
        <v>936</v>
      </c>
      <c r="C583" s="2" t="s">
        <v>7</v>
      </c>
      <c r="D583" s="2" t="s">
        <v>935</v>
      </c>
      <c r="E583" s="2" t="s">
        <v>905</v>
      </c>
      <c r="F583" s="2" t="s">
        <v>936</v>
      </c>
    </row>
    <row r="584" customFormat="false" ht="15" hidden="false" customHeight="false" outlineLevel="0" collapsed="false">
      <c r="A584" s="2" t="n">
        <v>583</v>
      </c>
      <c r="B584" s="2" t="s">
        <v>937</v>
      </c>
      <c r="C584" s="2" t="s">
        <v>7</v>
      </c>
      <c r="D584" s="2" t="s">
        <v>938</v>
      </c>
      <c r="E584" s="2" t="s">
        <v>905</v>
      </c>
      <c r="F584" s="2" t="s">
        <v>937</v>
      </c>
    </row>
    <row r="585" customFormat="false" ht="15" hidden="false" customHeight="false" outlineLevel="0" collapsed="false">
      <c r="A585" s="2" t="n">
        <v>584</v>
      </c>
      <c r="B585" s="2" t="s">
        <v>191</v>
      </c>
      <c r="C585" s="2" t="s">
        <v>7</v>
      </c>
      <c r="D585" s="2" t="s">
        <v>939</v>
      </c>
      <c r="E585" s="2" t="s">
        <v>905</v>
      </c>
      <c r="F585" s="2" t="s">
        <v>191</v>
      </c>
    </row>
    <row r="586" customFormat="false" ht="15" hidden="false" customHeight="false" outlineLevel="0" collapsed="false">
      <c r="A586" s="2" t="n">
        <v>585</v>
      </c>
      <c r="B586" s="2" t="s">
        <v>940</v>
      </c>
      <c r="C586" s="2" t="s">
        <v>7</v>
      </c>
      <c r="D586" s="2" t="s">
        <v>941</v>
      </c>
      <c r="E586" s="2" t="s">
        <v>905</v>
      </c>
      <c r="F586" s="2" t="s">
        <v>940</v>
      </c>
    </row>
    <row r="587" customFormat="false" ht="15" hidden="false" customHeight="false" outlineLevel="0" collapsed="false">
      <c r="A587" s="2" t="n">
        <v>586</v>
      </c>
      <c r="B587" s="2" t="s">
        <v>395</v>
      </c>
      <c r="C587" s="2" t="s">
        <v>7</v>
      </c>
      <c r="D587" s="2" t="s">
        <v>942</v>
      </c>
      <c r="E587" s="2" t="s">
        <v>905</v>
      </c>
      <c r="F587" s="2" t="s">
        <v>395</v>
      </c>
    </row>
    <row r="588" customFormat="false" ht="15" hidden="false" customHeight="false" outlineLevel="0" collapsed="false">
      <c r="A588" s="2" t="n">
        <v>587</v>
      </c>
      <c r="B588" s="2" t="s">
        <v>832</v>
      </c>
      <c r="C588" s="2" t="s">
        <v>7</v>
      </c>
      <c r="D588" s="2" t="s">
        <v>943</v>
      </c>
      <c r="E588" s="2" t="s">
        <v>905</v>
      </c>
      <c r="F588" s="2" t="s">
        <v>832</v>
      </c>
    </row>
    <row r="589" customFormat="false" ht="15" hidden="false" customHeight="false" outlineLevel="0" collapsed="false">
      <c r="A589" s="2" t="n">
        <v>588</v>
      </c>
      <c r="B589" s="2" t="s">
        <v>944</v>
      </c>
      <c r="C589" s="2" t="s">
        <v>7</v>
      </c>
      <c r="D589" s="2" t="s">
        <v>945</v>
      </c>
      <c r="E589" s="2" t="s">
        <v>905</v>
      </c>
      <c r="F589" s="2" t="s">
        <v>944</v>
      </c>
    </row>
    <row r="590" customFormat="false" ht="15" hidden="false" customHeight="false" outlineLevel="0" collapsed="false">
      <c r="A590" s="2" t="n">
        <v>589</v>
      </c>
      <c r="B590" s="2" t="s">
        <v>946</v>
      </c>
      <c r="C590" s="2" t="s">
        <v>7</v>
      </c>
      <c r="D590" s="2" t="s">
        <v>945</v>
      </c>
      <c r="E590" s="2" t="s">
        <v>905</v>
      </c>
      <c r="F590" s="2" t="s">
        <v>946</v>
      </c>
    </row>
    <row r="591" customFormat="false" ht="15" hidden="false" customHeight="false" outlineLevel="0" collapsed="false">
      <c r="A591" s="2" t="n">
        <v>590</v>
      </c>
      <c r="B591" s="2" t="s">
        <v>947</v>
      </c>
      <c r="C591" s="2" t="s">
        <v>7</v>
      </c>
      <c r="D591" s="2" t="s">
        <v>948</v>
      </c>
      <c r="E591" s="2" t="s">
        <v>905</v>
      </c>
      <c r="F591" s="2" t="s">
        <v>947</v>
      </c>
    </row>
    <row r="592" customFormat="false" ht="15" hidden="false" customHeight="false" outlineLevel="0" collapsed="false">
      <c r="A592" s="2" t="n">
        <v>591</v>
      </c>
      <c r="B592" s="2" t="s">
        <v>949</v>
      </c>
      <c r="C592" s="2" t="s">
        <v>7</v>
      </c>
      <c r="D592" s="2" t="s">
        <v>948</v>
      </c>
      <c r="E592" s="2" t="s">
        <v>905</v>
      </c>
      <c r="F592" s="2" t="s">
        <v>949</v>
      </c>
    </row>
    <row r="593" customFormat="false" ht="15" hidden="false" customHeight="false" outlineLevel="0" collapsed="false">
      <c r="A593" s="2" t="n">
        <v>592</v>
      </c>
      <c r="B593" s="2" t="s">
        <v>950</v>
      </c>
      <c r="C593" s="2" t="s">
        <v>7</v>
      </c>
      <c r="D593" s="2" t="s">
        <v>948</v>
      </c>
      <c r="E593" s="2" t="s">
        <v>905</v>
      </c>
      <c r="F593" s="2" t="s">
        <v>950</v>
      </c>
    </row>
    <row r="594" customFormat="false" ht="15" hidden="false" customHeight="false" outlineLevel="0" collapsed="false">
      <c r="A594" s="2" t="n">
        <v>593</v>
      </c>
      <c r="B594" s="2" t="s">
        <v>951</v>
      </c>
      <c r="C594" s="2" t="s">
        <v>7</v>
      </c>
      <c r="D594" s="2" t="s">
        <v>952</v>
      </c>
      <c r="E594" s="2" t="s">
        <v>905</v>
      </c>
      <c r="F594" s="2" t="s">
        <v>951</v>
      </c>
    </row>
    <row r="595" customFormat="false" ht="15" hidden="false" customHeight="false" outlineLevel="0" collapsed="false">
      <c r="A595" s="2" t="n">
        <v>594</v>
      </c>
      <c r="B595" s="2" t="s">
        <v>953</v>
      </c>
      <c r="C595" s="2" t="s">
        <v>7</v>
      </c>
      <c r="D595" s="2" t="s">
        <v>952</v>
      </c>
      <c r="E595" s="2" t="s">
        <v>905</v>
      </c>
      <c r="F595" s="2" t="s">
        <v>953</v>
      </c>
    </row>
    <row r="596" customFormat="false" ht="15" hidden="false" customHeight="false" outlineLevel="0" collapsed="false">
      <c r="A596" s="2" t="n">
        <v>595</v>
      </c>
      <c r="B596" s="2" t="s">
        <v>954</v>
      </c>
      <c r="C596" s="2" t="s">
        <v>7</v>
      </c>
      <c r="D596" s="2" t="s">
        <v>952</v>
      </c>
      <c r="E596" s="2" t="s">
        <v>905</v>
      </c>
      <c r="F596" s="2" t="s">
        <v>954</v>
      </c>
    </row>
    <row r="597" customFormat="false" ht="15" hidden="false" customHeight="false" outlineLevel="0" collapsed="false">
      <c r="A597" s="2" t="n">
        <v>596</v>
      </c>
      <c r="B597" s="2" t="s">
        <v>955</v>
      </c>
      <c r="C597" s="2" t="s">
        <v>7</v>
      </c>
      <c r="D597" s="2" t="s">
        <v>956</v>
      </c>
      <c r="E597" s="2" t="s">
        <v>905</v>
      </c>
      <c r="F597" s="2" t="s">
        <v>955</v>
      </c>
    </row>
    <row r="598" customFormat="false" ht="15" hidden="false" customHeight="false" outlineLevel="0" collapsed="false">
      <c r="A598" s="2" t="n">
        <v>597</v>
      </c>
      <c r="B598" s="2" t="s">
        <v>957</v>
      </c>
      <c r="C598" s="2" t="s">
        <v>7</v>
      </c>
      <c r="D598" s="2" t="s">
        <v>958</v>
      </c>
      <c r="E598" s="2" t="s">
        <v>905</v>
      </c>
      <c r="F598" s="2" t="s">
        <v>957</v>
      </c>
    </row>
    <row r="599" customFormat="false" ht="15" hidden="false" customHeight="false" outlineLevel="0" collapsed="false">
      <c r="A599" s="2" t="n">
        <v>598</v>
      </c>
      <c r="B599" s="2" t="s">
        <v>959</v>
      </c>
      <c r="C599" s="2" t="s">
        <v>7</v>
      </c>
      <c r="D599" s="2" t="s">
        <v>958</v>
      </c>
      <c r="E599" s="2" t="s">
        <v>905</v>
      </c>
      <c r="F599" s="2" t="s">
        <v>959</v>
      </c>
    </row>
    <row r="600" customFormat="false" ht="15" hidden="false" customHeight="false" outlineLevel="0" collapsed="false">
      <c r="A600" s="2" t="n">
        <v>599</v>
      </c>
      <c r="B600" s="2" t="s">
        <v>960</v>
      </c>
      <c r="C600" s="2" t="s">
        <v>7</v>
      </c>
      <c r="D600" s="2" t="s">
        <v>961</v>
      </c>
      <c r="E600" s="2" t="s">
        <v>905</v>
      </c>
      <c r="F600" s="2" t="s">
        <v>960</v>
      </c>
    </row>
    <row r="601" customFormat="false" ht="15" hidden="false" customHeight="false" outlineLevel="0" collapsed="false">
      <c r="A601" s="2" t="n">
        <v>600</v>
      </c>
      <c r="B601" s="2" t="s">
        <v>962</v>
      </c>
      <c r="C601" s="2" t="s">
        <v>7</v>
      </c>
      <c r="D601" s="2" t="s">
        <v>961</v>
      </c>
      <c r="E601" s="2" t="s">
        <v>905</v>
      </c>
      <c r="F601" s="2" t="s">
        <v>962</v>
      </c>
    </row>
    <row r="602" customFormat="false" ht="15" hidden="false" customHeight="false" outlineLevel="0" collapsed="false">
      <c r="A602" s="2" t="n">
        <v>601</v>
      </c>
      <c r="B602" s="2" t="s">
        <v>963</v>
      </c>
      <c r="C602" s="2" t="s">
        <v>7</v>
      </c>
      <c r="D602" s="2" t="s">
        <v>964</v>
      </c>
      <c r="E602" s="2" t="s">
        <v>905</v>
      </c>
      <c r="F602" s="2" t="s">
        <v>963</v>
      </c>
    </row>
    <row r="603" customFormat="false" ht="15" hidden="false" customHeight="false" outlineLevel="0" collapsed="false">
      <c r="A603" s="2" t="n">
        <v>602</v>
      </c>
      <c r="B603" s="2" t="s">
        <v>965</v>
      </c>
      <c r="C603" s="2" t="s">
        <v>7</v>
      </c>
      <c r="D603" s="2" t="s">
        <v>964</v>
      </c>
      <c r="E603" s="2" t="s">
        <v>905</v>
      </c>
      <c r="F603" s="2" t="s">
        <v>965</v>
      </c>
    </row>
    <row r="604" customFormat="false" ht="15" hidden="false" customHeight="false" outlineLevel="0" collapsed="false">
      <c r="A604" s="2" t="n">
        <v>603</v>
      </c>
      <c r="B604" s="2" t="s">
        <v>966</v>
      </c>
      <c r="C604" s="2" t="s">
        <v>7</v>
      </c>
      <c r="D604" s="2" t="s">
        <v>964</v>
      </c>
      <c r="E604" s="2" t="s">
        <v>905</v>
      </c>
      <c r="F604" s="2" t="s">
        <v>966</v>
      </c>
    </row>
    <row r="605" customFormat="false" ht="15" hidden="false" customHeight="false" outlineLevel="0" collapsed="false">
      <c r="A605" s="2" t="n">
        <v>604</v>
      </c>
      <c r="B605" s="2" t="s">
        <v>967</v>
      </c>
      <c r="C605" s="2" t="s">
        <v>7</v>
      </c>
      <c r="D605" s="2" t="s">
        <v>968</v>
      </c>
      <c r="E605" s="2" t="s">
        <v>905</v>
      </c>
      <c r="F605" s="2" t="s">
        <v>967</v>
      </c>
    </row>
    <row r="606" customFormat="false" ht="15" hidden="false" customHeight="false" outlineLevel="0" collapsed="false">
      <c r="A606" s="2" t="n">
        <v>605</v>
      </c>
      <c r="B606" s="2" t="s">
        <v>649</v>
      </c>
      <c r="C606" s="2" t="s">
        <v>7</v>
      </c>
      <c r="D606" s="2" t="s">
        <v>650</v>
      </c>
      <c r="E606" s="2" t="s">
        <v>905</v>
      </c>
      <c r="F606" s="2" t="s">
        <v>649</v>
      </c>
    </row>
    <row r="607" customFormat="false" ht="15" hidden="false" customHeight="false" outlineLevel="0" collapsed="false">
      <c r="A607" s="2" t="n">
        <v>606</v>
      </c>
      <c r="B607" s="2" t="s">
        <v>651</v>
      </c>
      <c r="C607" s="2" t="s">
        <v>7</v>
      </c>
      <c r="D607" s="2" t="s">
        <v>650</v>
      </c>
      <c r="E607" s="2" t="s">
        <v>905</v>
      </c>
      <c r="F607" s="2" t="s">
        <v>651</v>
      </c>
    </row>
    <row r="608" customFormat="false" ht="15" hidden="false" customHeight="false" outlineLevel="0" collapsed="false">
      <c r="A608" s="2" t="n">
        <v>607</v>
      </c>
      <c r="B608" s="2" t="s">
        <v>969</v>
      </c>
      <c r="C608" s="2" t="s">
        <v>7</v>
      </c>
      <c r="D608" s="2" t="s">
        <v>970</v>
      </c>
      <c r="E608" s="2" t="s">
        <v>905</v>
      </c>
      <c r="F608" s="2" t="s">
        <v>969</v>
      </c>
    </row>
    <row r="609" customFormat="false" ht="15" hidden="false" customHeight="false" outlineLevel="0" collapsed="false">
      <c r="A609" s="2" t="n">
        <v>608</v>
      </c>
      <c r="B609" s="2" t="s">
        <v>971</v>
      </c>
      <c r="C609" s="2" t="s">
        <v>7</v>
      </c>
      <c r="D609" s="2" t="s">
        <v>972</v>
      </c>
      <c r="E609" s="2" t="s">
        <v>905</v>
      </c>
      <c r="F609" s="2" t="s">
        <v>971</v>
      </c>
    </row>
    <row r="610" customFormat="false" ht="15" hidden="false" customHeight="false" outlineLevel="0" collapsed="false">
      <c r="A610" s="2" t="n">
        <v>609</v>
      </c>
      <c r="B610" s="2" t="s">
        <v>973</v>
      </c>
      <c r="C610" s="2" t="s">
        <v>7</v>
      </c>
      <c r="D610" s="2" t="s">
        <v>974</v>
      </c>
      <c r="E610" s="2" t="s">
        <v>905</v>
      </c>
      <c r="F610" s="2" t="s">
        <v>973</v>
      </c>
    </row>
    <row r="611" customFormat="false" ht="15" hidden="false" customHeight="false" outlineLevel="0" collapsed="false">
      <c r="A611" s="2" t="n">
        <v>610</v>
      </c>
      <c r="B611" s="2" t="s">
        <v>975</v>
      </c>
      <c r="C611" s="2" t="s">
        <v>7</v>
      </c>
      <c r="D611" s="2" t="s">
        <v>976</v>
      </c>
      <c r="E611" s="2" t="s">
        <v>905</v>
      </c>
      <c r="F611" s="2" t="s">
        <v>975</v>
      </c>
    </row>
    <row r="612" customFormat="false" ht="15" hidden="false" customHeight="false" outlineLevel="0" collapsed="false">
      <c r="A612" s="2" t="n">
        <v>611</v>
      </c>
      <c r="B612" s="2" t="s">
        <v>977</v>
      </c>
      <c r="C612" s="2" t="s">
        <v>7</v>
      </c>
      <c r="D612" s="2" t="s">
        <v>978</v>
      </c>
      <c r="E612" s="2" t="s">
        <v>905</v>
      </c>
      <c r="F612" s="2" t="s">
        <v>977</v>
      </c>
    </row>
    <row r="613" customFormat="false" ht="15" hidden="false" customHeight="false" outlineLevel="0" collapsed="false">
      <c r="A613" s="2" t="n">
        <v>612</v>
      </c>
      <c r="B613" s="2" t="s">
        <v>979</v>
      </c>
      <c r="C613" s="2" t="s">
        <v>7</v>
      </c>
      <c r="D613" s="2" t="s">
        <v>980</v>
      </c>
      <c r="E613" s="2" t="s">
        <v>905</v>
      </c>
      <c r="F613" s="2" t="s">
        <v>979</v>
      </c>
    </row>
    <row r="614" customFormat="false" ht="15" hidden="false" customHeight="false" outlineLevel="0" collapsed="false">
      <c r="A614" s="2" t="n">
        <v>613</v>
      </c>
      <c r="B614" s="2" t="s">
        <v>981</v>
      </c>
      <c r="C614" s="2" t="s">
        <v>7</v>
      </c>
      <c r="D614" s="2" t="s">
        <v>982</v>
      </c>
      <c r="E614" s="2" t="s">
        <v>905</v>
      </c>
      <c r="F614" s="2" t="s">
        <v>981</v>
      </c>
    </row>
    <row r="615" customFormat="false" ht="15" hidden="false" customHeight="false" outlineLevel="0" collapsed="false">
      <c r="A615" s="2" t="n">
        <v>614</v>
      </c>
      <c r="B615" s="2" t="s">
        <v>983</v>
      </c>
      <c r="C615" s="2" t="s">
        <v>7</v>
      </c>
      <c r="D615" s="2" t="s">
        <v>984</v>
      </c>
      <c r="E615" s="2" t="s">
        <v>905</v>
      </c>
      <c r="F615" s="2" t="s">
        <v>983</v>
      </c>
    </row>
    <row r="616" customFormat="false" ht="15" hidden="false" customHeight="false" outlineLevel="0" collapsed="false">
      <c r="A616" s="2" t="n">
        <v>615</v>
      </c>
      <c r="B616" s="2" t="s">
        <v>985</v>
      </c>
      <c r="C616" s="2" t="s">
        <v>7</v>
      </c>
      <c r="D616" s="2" t="s">
        <v>986</v>
      </c>
      <c r="E616" s="2" t="s">
        <v>905</v>
      </c>
      <c r="F616" s="2" t="s">
        <v>985</v>
      </c>
    </row>
    <row r="617" customFormat="false" ht="15" hidden="false" customHeight="false" outlineLevel="0" collapsed="false">
      <c r="A617" s="2" t="n">
        <v>616</v>
      </c>
      <c r="B617" s="2" t="s">
        <v>987</v>
      </c>
      <c r="C617" s="2" t="s">
        <v>68</v>
      </c>
      <c r="D617" s="2" t="s">
        <v>197</v>
      </c>
      <c r="E617" s="2" t="s">
        <v>905</v>
      </c>
      <c r="F617" s="2" t="s">
        <v>82</v>
      </c>
    </row>
    <row r="618" customFormat="false" ht="15" hidden="false" customHeight="false" outlineLevel="0" collapsed="false">
      <c r="A618" s="2" t="n">
        <v>617</v>
      </c>
      <c r="B618" s="2" t="s">
        <v>988</v>
      </c>
      <c r="C618" s="2" t="s">
        <v>68</v>
      </c>
      <c r="D618" s="2" t="s">
        <v>989</v>
      </c>
      <c r="E618" s="2" t="s">
        <v>905</v>
      </c>
      <c r="F618" s="2" t="s">
        <v>86</v>
      </c>
    </row>
    <row r="619" customFormat="false" ht="15" hidden="false" customHeight="false" outlineLevel="0" collapsed="false">
      <c r="A619" s="2" t="n">
        <v>618</v>
      </c>
      <c r="B619" s="2" t="s">
        <v>211</v>
      </c>
      <c r="C619" s="2" t="s">
        <v>68</v>
      </c>
      <c r="D619" s="2" t="s">
        <v>990</v>
      </c>
      <c r="E619" s="2" t="s">
        <v>905</v>
      </c>
      <c r="F619" s="2" t="s">
        <v>90</v>
      </c>
    </row>
    <row r="620" customFormat="false" ht="15" hidden="false" customHeight="false" outlineLevel="0" collapsed="false">
      <c r="A620" s="2" t="n">
        <v>619</v>
      </c>
      <c r="B620" s="2" t="s">
        <v>98</v>
      </c>
      <c r="C620" s="2" t="s">
        <v>68</v>
      </c>
      <c r="D620" s="2" t="s">
        <v>991</v>
      </c>
      <c r="E620" s="2" t="s">
        <v>905</v>
      </c>
      <c r="F620" s="2" t="s">
        <v>100</v>
      </c>
    </row>
    <row r="621" customFormat="false" ht="15" hidden="false" customHeight="false" outlineLevel="0" collapsed="false">
      <c r="A621" s="2" t="n">
        <v>620</v>
      </c>
      <c r="B621" s="2" t="s">
        <v>992</v>
      </c>
      <c r="C621" s="2" t="s">
        <v>68</v>
      </c>
      <c r="D621" s="2" t="s">
        <v>993</v>
      </c>
      <c r="E621" s="2" t="s">
        <v>905</v>
      </c>
      <c r="F621" s="2" t="s">
        <v>100</v>
      </c>
    </row>
    <row r="622" customFormat="false" ht="15" hidden="false" customHeight="false" outlineLevel="0" collapsed="false">
      <c r="A622" s="2" t="n">
        <v>621</v>
      </c>
      <c r="B622" s="2" t="s">
        <v>994</v>
      </c>
      <c r="C622" s="2" t="s">
        <v>68</v>
      </c>
      <c r="D622" s="2" t="s">
        <v>995</v>
      </c>
      <c r="E622" s="2" t="s">
        <v>905</v>
      </c>
      <c r="F622" s="2" t="s">
        <v>203</v>
      </c>
    </row>
    <row r="623" customFormat="false" ht="15" hidden="false" customHeight="false" outlineLevel="0" collapsed="false">
      <c r="A623" s="2" t="n">
        <v>622</v>
      </c>
      <c r="B623" s="2" t="s">
        <v>912</v>
      </c>
      <c r="C623" s="2" t="s">
        <v>68</v>
      </c>
      <c r="D623" s="2" t="s">
        <v>996</v>
      </c>
      <c r="E623" s="2" t="s">
        <v>905</v>
      </c>
      <c r="F623" s="2" t="s">
        <v>116</v>
      </c>
    </row>
    <row r="624" customFormat="false" ht="15" hidden="false" customHeight="false" outlineLevel="0" collapsed="false">
      <c r="A624" s="2" t="n">
        <v>623</v>
      </c>
      <c r="B624" s="2" t="s">
        <v>101</v>
      </c>
      <c r="C624" s="2" t="s">
        <v>68</v>
      </c>
      <c r="D624" s="2" t="s">
        <v>997</v>
      </c>
      <c r="E624" s="2" t="s">
        <v>905</v>
      </c>
      <c r="F624" s="2" t="s">
        <v>101</v>
      </c>
    </row>
    <row r="625" customFormat="false" ht="15" hidden="false" customHeight="false" outlineLevel="0" collapsed="false">
      <c r="A625" s="2" t="n">
        <v>624</v>
      </c>
      <c r="B625" s="2" t="s">
        <v>998</v>
      </c>
      <c r="C625" s="2" t="s">
        <v>68</v>
      </c>
      <c r="D625" s="2" t="s">
        <v>999</v>
      </c>
      <c r="E625" s="2" t="s">
        <v>905</v>
      </c>
      <c r="F625" s="2" t="s">
        <v>235</v>
      </c>
    </row>
    <row r="626" customFormat="false" ht="15" hidden="false" customHeight="false" outlineLevel="0" collapsed="false">
      <c r="A626" s="2" t="n">
        <v>625</v>
      </c>
      <c r="B626" s="2" t="s">
        <v>1000</v>
      </c>
      <c r="C626" s="2" t="s">
        <v>68</v>
      </c>
      <c r="D626" s="2" t="s">
        <v>1001</v>
      </c>
      <c r="E626" s="2" t="s">
        <v>905</v>
      </c>
      <c r="F626" s="2" t="s">
        <v>238</v>
      </c>
    </row>
    <row r="627" customFormat="false" ht="15" hidden="false" customHeight="false" outlineLevel="0" collapsed="false">
      <c r="A627" s="2" t="n">
        <v>626</v>
      </c>
      <c r="B627" s="2" t="s">
        <v>453</v>
      </c>
      <c r="C627" s="2" t="s">
        <v>68</v>
      </c>
      <c r="D627" s="2" t="s">
        <v>1002</v>
      </c>
      <c r="E627" s="2" t="s">
        <v>905</v>
      </c>
      <c r="F627" s="2" t="s">
        <v>229</v>
      </c>
    </row>
    <row r="628" customFormat="false" ht="15" hidden="false" customHeight="false" outlineLevel="0" collapsed="false">
      <c r="A628" s="2" t="n">
        <v>627</v>
      </c>
      <c r="B628" s="2" t="s">
        <v>1003</v>
      </c>
      <c r="C628" s="2" t="s">
        <v>68</v>
      </c>
      <c r="D628" s="2" t="s">
        <v>1004</v>
      </c>
      <c r="E628" s="2" t="s">
        <v>905</v>
      </c>
      <c r="F628" s="2" t="s">
        <v>606</v>
      </c>
    </row>
    <row r="629" customFormat="false" ht="15" hidden="false" customHeight="false" outlineLevel="0" collapsed="false">
      <c r="A629" s="2" t="n">
        <v>628</v>
      </c>
      <c r="B629" s="2" t="s">
        <v>1005</v>
      </c>
      <c r="C629" s="2" t="s">
        <v>68</v>
      </c>
      <c r="D629" s="2" t="s">
        <v>1006</v>
      </c>
      <c r="E629" s="2" t="s">
        <v>905</v>
      </c>
      <c r="F629" s="2" t="s">
        <v>85</v>
      </c>
    </row>
    <row r="630" customFormat="false" ht="15" hidden="false" customHeight="false" outlineLevel="0" collapsed="false">
      <c r="A630" s="2" t="n">
        <v>629</v>
      </c>
      <c r="B630" s="2" t="s">
        <v>1007</v>
      </c>
      <c r="C630" s="2" t="s">
        <v>68</v>
      </c>
      <c r="D630" s="2" t="s">
        <v>1008</v>
      </c>
      <c r="E630" s="2" t="s">
        <v>905</v>
      </c>
      <c r="F630" s="2" t="s">
        <v>730</v>
      </c>
    </row>
    <row r="631" customFormat="false" ht="15" hidden="false" customHeight="false" outlineLevel="0" collapsed="false">
      <c r="A631" s="2" t="n">
        <v>630</v>
      </c>
      <c r="B631" s="2" t="s">
        <v>1009</v>
      </c>
      <c r="C631" s="2" t="s">
        <v>68</v>
      </c>
      <c r="D631" s="2" t="s">
        <v>1010</v>
      </c>
      <c r="E631" s="2" t="s">
        <v>905</v>
      </c>
      <c r="F631" s="2" t="s">
        <v>1011</v>
      </c>
    </row>
    <row r="632" customFormat="false" ht="15" hidden="false" customHeight="false" outlineLevel="0" collapsed="false">
      <c r="A632" s="2" t="n">
        <v>631</v>
      </c>
      <c r="B632" s="2" t="s">
        <v>1012</v>
      </c>
      <c r="C632" s="2" t="s">
        <v>68</v>
      </c>
      <c r="D632" s="2" t="s">
        <v>1013</v>
      </c>
      <c r="E632" s="2" t="s">
        <v>905</v>
      </c>
      <c r="F632" s="2" t="s">
        <v>238</v>
      </c>
    </row>
    <row r="633" customFormat="false" ht="15" hidden="false" customHeight="false" outlineLevel="0" collapsed="false">
      <c r="A633" s="2" t="n">
        <v>632</v>
      </c>
      <c r="B633" s="2" t="s">
        <v>1014</v>
      </c>
      <c r="C633" s="2" t="s">
        <v>68</v>
      </c>
      <c r="D633" s="2" t="s">
        <v>1015</v>
      </c>
      <c r="E633" s="2" t="s">
        <v>905</v>
      </c>
      <c r="F633" s="2" t="s">
        <v>1014</v>
      </c>
    </row>
    <row r="634" customFormat="false" ht="15" hidden="false" customHeight="false" outlineLevel="0" collapsed="false">
      <c r="A634" s="2" t="n">
        <v>633</v>
      </c>
      <c r="B634" s="2" t="s">
        <v>1016</v>
      </c>
      <c r="C634" s="2" t="s">
        <v>68</v>
      </c>
      <c r="D634" s="2" t="s">
        <v>1017</v>
      </c>
      <c r="E634" s="2" t="s">
        <v>905</v>
      </c>
      <c r="F634" s="2" t="s">
        <v>100</v>
      </c>
    </row>
    <row r="635" customFormat="false" ht="15" hidden="false" customHeight="false" outlineLevel="0" collapsed="false">
      <c r="A635" s="2" t="n">
        <v>634</v>
      </c>
      <c r="B635" s="2" t="s">
        <v>1018</v>
      </c>
      <c r="C635" s="2" t="s">
        <v>7</v>
      </c>
      <c r="D635" s="2" t="s">
        <v>1019</v>
      </c>
      <c r="E635" s="2" t="s">
        <v>1020</v>
      </c>
      <c r="F635" s="2" t="s">
        <v>12</v>
      </c>
    </row>
    <row r="636" customFormat="false" ht="15" hidden="false" customHeight="false" outlineLevel="0" collapsed="false">
      <c r="A636" s="2" t="n">
        <v>635</v>
      </c>
      <c r="B636" s="2" t="s">
        <v>6</v>
      </c>
      <c r="C636" s="2" t="s">
        <v>7</v>
      </c>
      <c r="D636" s="2" t="s">
        <v>1021</v>
      </c>
      <c r="E636" s="2" t="s">
        <v>1020</v>
      </c>
      <c r="F636" s="2" t="s">
        <v>6</v>
      </c>
    </row>
    <row r="637" customFormat="false" ht="15" hidden="false" customHeight="false" outlineLevel="0" collapsed="false">
      <c r="A637" s="2" t="n">
        <v>636</v>
      </c>
      <c r="B637" s="2" t="s">
        <v>1022</v>
      </c>
      <c r="C637" s="2" t="s">
        <v>7</v>
      </c>
      <c r="D637" s="2" t="s">
        <v>1023</v>
      </c>
      <c r="E637" s="2" t="s">
        <v>1020</v>
      </c>
      <c r="F637" s="2" t="s">
        <v>1022</v>
      </c>
    </row>
    <row r="638" customFormat="false" ht="15" hidden="false" customHeight="false" outlineLevel="0" collapsed="false">
      <c r="A638" s="2" t="n">
        <v>637</v>
      </c>
      <c r="B638" s="2" t="s">
        <v>14</v>
      </c>
      <c r="C638" s="2" t="s">
        <v>7</v>
      </c>
      <c r="D638" s="2" t="s">
        <v>162</v>
      </c>
      <c r="E638" s="2" t="s">
        <v>1020</v>
      </c>
      <c r="F638" s="2" t="s">
        <v>14</v>
      </c>
    </row>
    <row r="639" customFormat="false" ht="15" hidden="false" customHeight="false" outlineLevel="0" collapsed="false">
      <c r="A639" s="2" t="n">
        <v>638</v>
      </c>
      <c r="B639" s="2" t="s">
        <v>320</v>
      </c>
      <c r="C639" s="2" t="s">
        <v>7</v>
      </c>
      <c r="D639" s="2" t="s">
        <v>1024</v>
      </c>
      <c r="E639" s="2" t="s">
        <v>1020</v>
      </c>
      <c r="F639" s="2" t="s">
        <v>320</v>
      </c>
    </row>
    <row r="640" customFormat="false" ht="15" hidden="false" customHeight="false" outlineLevel="0" collapsed="false">
      <c r="A640" s="2" t="n">
        <v>639</v>
      </c>
      <c r="B640" s="2" t="s">
        <v>1025</v>
      </c>
      <c r="C640" s="2" t="s">
        <v>7</v>
      </c>
      <c r="D640" s="2" t="s">
        <v>1026</v>
      </c>
      <c r="E640" s="2" t="s">
        <v>1020</v>
      </c>
      <c r="F640" s="2" t="s">
        <v>1025</v>
      </c>
    </row>
    <row r="641" customFormat="false" ht="15" hidden="false" customHeight="false" outlineLevel="0" collapsed="false">
      <c r="A641" s="2" t="n">
        <v>640</v>
      </c>
      <c r="B641" s="2" t="s">
        <v>16</v>
      </c>
      <c r="C641" s="2" t="s">
        <v>7</v>
      </c>
      <c r="D641" s="2" t="s">
        <v>1027</v>
      </c>
      <c r="E641" s="2" t="s">
        <v>1020</v>
      </c>
      <c r="F641" s="2" t="s">
        <v>16</v>
      </c>
    </row>
    <row r="642" customFormat="false" ht="15" hidden="false" customHeight="false" outlineLevel="0" collapsed="false">
      <c r="A642" s="2" t="n">
        <v>641</v>
      </c>
      <c r="B642" s="2" t="s">
        <v>20</v>
      </c>
      <c r="C642" s="2" t="s">
        <v>7</v>
      </c>
      <c r="D642" s="2" t="s">
        <v>1028</v>
      </c>
      <c r="E642" s="2" t="s">
        <v>1020</v>
      </c>
      <c r="F642" s="2" t="s">
        <v>20</v>
      </c>
    </row>
    <row r="643" customFormat="false" ht="15" hidden="false" customHeight="false" outlineLevel="0" collapsed="false">
      <c r="A643" s="2" t="n">
        <v>642</v>
      </c>
      <c r="B643" s="2" t="s">
        <v>18</v>
      </c>
      <c r="C643" s="2" t="s">
        <v>7</v>
      </c>
      <c r="D643" s="2" t="s">
        <v>1029</v>
      </c>
      <c r="E643" s="2" t="s">
        <v>1020</v>
      </c>
      <c r="F643" s="2" t="s">
        <v>18</v>
      </c>
    </row>
    <row r="644" customFormat="false" ht="15" hidden="false" customHeight="false" outlineLevel="0" collapsed="false">
      <c r="A644" s="2" t="n">
        <v>643</v>
      </c>
      <c r="B644" s="2" t="s">
        <v>24</v>
      </c>
      <c r="C644" s="2" t="s">
        <v>7</v>
      </c>
      <c r="D644" s="2" t="s">
        <v>1030</v>
      </c>
      <c r="E644" s="2" t="s">
        <v>1020</v>
      </c>
      <c r="F644" s="2" t="s">
        <v>24</v>
      </c>
    </row>
    <row r="645" customFormat="false" ht="15" hidden="false" customHeight="false" outlineLevel="0" collapsed="false">
      <c r="A645" s="2" t="n">
        <v>644</v>
      </c>
      <c r="B645" s="2" t="s">
        <v>26</v>
      </c>
      <c r="C645" s="2" t="s">
        <v>7</v>
      </c>
      <c r="D645" s="2" t="s">
        <v>1031</v>
      </c>
      <c r="E645" s="2" t="s">
        <v>1020</v>
      </c>
      <c r="F645" s="2" t="s">
        <v>26</v>
      </c>
    </row>
    <row r="646" customFormat="false" ht="15" hidden="false" customHeight="false" outlineLevel="0" collapsed="false">
      <c r="A646" s="2" t="n">
        <v>645</v>
      </c>
      <c r="B646" s="2" t="s">
        <v>22</v>
      </c>
      <c r="C646" s="2" t="s">
        <v>7</v>
      </c>
      <c r="D646" s="2" t="s">
        <v>1032</v>
      </c>
      <c r="E646" s="2" t="s">
        <v>1020</v>
      </c>
      <c r="F646" s="2" t="s">
        <v>22</v>
      </c>
    </row>
    <row r="647" customFormat="false" ht="15" hidden="false" customHeight="false" outlineLevel="0" collapsed="false">
      <c r="A647" s="2" t="n">
        <v>646</v>
      </c>
      <c r="B647" s="2" t="s">
        <v>27</v>
      </c>
      <c r="C647" s="2" t="s">
        <v>7</v>
      </c>
      <c r="D647" s="2" t="s">
        <v>1033</v>
      </c>
      <c r="E647" s="2" t="s">
        <v>1020</v>
      </c>
      <c r="F647" s="2" t="s">
        <v>27</v>
      </c>
    </row>
    <row r="648" customFormat="false" ht="15" hidden="false" customHeight="false" outlineLevel="0" collapsed="false">
      <c r="A648" s="2" t="n">
        <v>647</v>
      </c>
      <c r="B648" s="2" t="s">
        <v>328</v>
      </c>
      <c r="C648" s="2" t="s">
        <v>7</v>
      </c>
      <c r="D648" s="2" t="s">
        <v>1034</v>
      </c>
      <c r="E648" s="2" t="s">
        <v>1020</v>
      </c>
      <c r="F648" s="2" t="s">
        <v>328</v>
      </c>
    </row>
    <row r="649" customFormat="false" ht="15" hidden="false" customHeight="false" outlineLevel="0" collapsed="false">
      <c r="A649" s="2" t="n">
        <v>648</v>
      </c>
      <c r="B649" s="2" t="s">
        <v>155</v>
      </c>
      <c r="C649" s="2" t="s">
        <v>7</v>
      </c>
      <c r="D649" s="2" t="s">
        <v>1035</v>
      </c>
      <c r="E649" s="2" t="s">
        <v>1020</v>
      </c>
      <c r="F649" s="2" t="s">
        <v>155</v>
      </c>
    </row>
    <row r="650" customFormat="false" ht="15" hidden="false" customHeight="false" outlineLevel="0" collapsed="false">
      <c r="A650" s="2" t="n">
        <v>649</v>
      </c>
      <c r="B650" s="2" t="s">
        <v>1036</v>
      </c>
      <c r="C650" s="2" t="s">
        <v>7</v>
      </c>
      <c r="D650" s="2" t="s">
        <v>1037</v>
      </c>
      <c r="E650" s="2" t="s">
        <v>1020</v>
      </c>
      <c r="F650" s="2" t="s">
        <v>1036</v>
      </c>
    </row>
    <row r="651" customFormat="false" ht="15" hidden="false" customHeight="false" outlineLevel="0" collapsed="false">
      <c r="A651" s="2" t="n">
        <v>650</v>
      </c>
      <c r="B651" s="2" t="s">
        <v>1038</v>
      </c>
      <c r="C651" s="2" t="s">
        <v>7</v>
      </c>
      <c r="D651" s="2" t="s">
        <v>1039</v>
      </c>
      <c r="E651" s="2" t="s">
        <v>1020</v>
      </c>
      <c r="F651" s="2" t="s">
        <v>1038</v>
      </c>
    </row>
    <row r="652" customFormat="false" ht="15" hidden="false" customHeight="false" outlineLevel="0" collapsed="false">
      <c r="A652" s="2" t="n">
        <v>651</v>
      </c>
      <c r="B652" s="2" t="s">
        <v>1040</v>
      </c>
      <c r="C652" s="2" t="s">
        <v>7</v>
      </c>
      <c r="D652" s="2" t="s">
        <v>1041</v>
      </c>
      <c r="E652" s="2" t="s">
        <v>1020</v>
      </c>
      <c r="F652" s="2" t="s">
        <v>1040</v>
      </c>
    </row>
    <row r="653" customFormat="false" ht="15" hidden="false" customHeight="false" outlineLevel="0" collapsed="false">
      <c r="A653" s="2" t="n">
        <v>652</v>
      </c>
      <c r="B653" s="2" t="s">
        <v>633</v>
      </c>
      <c r="C653" s="2" t="s">
        <v>7</v>
      </c>
      <c r="D653" s="2" t="s">
        <v>1041</v>
      </c>
      <c r="E653" s="2" t="s">
        <v>1020</v>
      </c>
      <c r="F653" s="2" t="s">
        <v>633</v>
      </c>
    </row>
    <row r="654" customFormat="false" ht="15" hidden="false" customHeight="false" outlineLevel="0" collapsed="false">
      <c r="A654" s="2" t="n">
        <v>653</v>
      </c>
      <c r="B654" s="2" t="s">
        <v>29</v>
      </c>
      <c r="C654" s="2" t="s">
        <v>7</v>
      </c>
      <c r="D654" s="2" t="s">
        <v>1042</v>
      </c>
      <c r="E654" s="2" t="s">
        <v>1020</v>
      </c>
      <c r="F654" s="2" t="s">
        <v>29</v>
      </c>
    </row>
    <row r="655" customFormat="false" ht="15" hidden="false" customHeight="false" outlineLevel="0" collapsed="false">
      <c r="A655" s="2" t="n">
        <v>654</v>
      </c>
      <c r="B655" s="2" t="s">
        <v>1043</v>
      </c>
      <c r="C655" s="2" t="s">
        <v>7</v>
      </c>
      <c r="D655" s="2" t="s">
        <v>1042</v>
      </c>
      <c r="E655" s="2" t="s">
        <v>1020</v>
      </c>
      <c r="F655" s="2" t="s">
        <v>31</v>
      </c>
    </row>
    <row r="656" customFormat="false" ht="15" hidden="false" customHeight="false" outlineLevel="0" collapsed="false">
      <c r="A656" s="2" t="n">
        <v>655</v>
      </c>
      <c r="B656" s="2" t="s">
        <v>35</v>
      </c>
      <c r="C656" s="2" t="s">
        <v>7</v>
      </c>
      <c r="D656" s="2" t="s">
        <v>1042</v>
      </c>
      <c r="E656" s="2" t="s">
        <v>1020</v>
      </c>
      <c r="F656" s="2" t="s">
        <v>35</v>
      </c>
    </row>
    <row r="657" customFormat="false" ht="15" hidden="false" customHeight="false" outlineLevel="0" collapsed="false">
      <c r="A657" s="2" t="n">
        <v>656</v>
      </c>
      <c r="B657" s="2" t="s">
        <v>36</v>
      </c>
      <c r="C657" s="2" t="s">
        <v>7</v>
      </c>
      <c r="D657" s="2" t="s">
        <v>1044</v>
      </c>
      <c r="E657" s="2" t="s">
        <v>1020</v>
      </c>
      <c r="F657" s="2" t="s">
        <v>36</v>
      </c>
    </row>
    <row r="658" customFormat="false" ht="15" hidden="false" customHeight="false" outlineLevel="0" collapsed="false">
      <c r="A658" s="2" t="n">
        <v>657</v>
      </c>
      <c r="B658" s="2" t="s">
        <v>38</v>
      </c>
      <c r="C658" s="2" t="s">
        <v>7</v>
      </c>
      <c r="D658" s="2" t="s">
        <v>1042</v>
      </c>
      <c r="E658" s="2" t="s">
        <v>1020</v>
      </c>
      <c r="F658" s="2" t="s">
        <v>38</v>
      </c>
    </row>
    <row r="659" customFormat="false" ht="15" hidden="false" customHeight="false" outlineLevel="0" collapsed="false">
      <c r="A659" s="2" t="n">
        <v>658</v>
      </c>
      <c r="B659" s="2" t="s">
        <v>53</v>
      </c>
      <c r="C659" s="2" t="s">
        <v>7</v>
      </c>
      <c r="D659" s="2" t="s">
        <v>1045</v>
      </c>
      <c r="E659" s="2" t="s">
        <v>1020</v>
      </c>
      <c r="F659" s="2" t="s">
        <v>53</v>
      </c>
    </row>
    <row r="660" customFormat="false" ht="15" hidden="false" customHeight="false" outlineLevel="0" collapsed="false">
      <c r="A660" s="2" t="n">
        <v>659</v>
      </c>
      <c r="B660" s="2" t="s">
        <v>40</v>
      </c>
      <c r="C660" s="2" t="s">
        <v>7</v>
      </c>
      <c r="D660" s="2" t="s">
        <v>1046</v>
      </c>
      <c r="E660" s="2" t="s">
        <v>1020</v>
      </c>
      <c r="F660" s="2" t="s">
        <v>40</v>
      </c>
    </row>
    <row r="661" customFormat="false" ht="15" hidden="false" customHeight="false" outlineLevel="0" collapsed="false">
      <c r="A661" s="2" t="n">
        <v>660</v>
      </c>
      <c r="B661" s="2" t="s">
        <v>522</v>
      </c>
      <c r="C661" s="2" t="s">
        <v>7</v>
      </c>
      <c r="D661" s="2" t="s">
        <v>1047</v>
      </c>
      <c r="E661" s="2" t="s">
        <v>1020</v>
      </c>
      <c r="F661" s="2" t="s">
        <v>522</v>
      </c>
    </row>
    <row r="662" customFormat="false" ht="15" hidden="false" customHeight="false" outlineLevel="0" collapsed="false">
      <c r="A662" s="2" t="n">
        <v>661</v>
      </c>
      <c r="B662" s="2" t="s">
        <v>1048</v>
      </c>
      <c r="C662" s="2" t="s">
        <v>7</v>
      </c>
      <c r="D662" s="2" t="s">
        <v>1047</v>
      </c>
      <c r="E662" s="2" t="s">
        <v>1020</v>
      </c>
      <c r="F662" s="2" t="s">
        <v>1048</v>
      </c>
    </row>
    <row r="663" customFormat="false" ht="15" hidden="false" customHeight="false" outlineLevel="0" collapsed="false">
      <c r="A663" s="2" t="n">
        <v>662</v>
      </c>
      <c r="B663" s="2" t="s">
        <v>55</v>
      </c>
      <c r="C663" s="2" t="s">
        <v>7</v>
      </c>
      <c r="D663" s="2" t="s">
        <v>1049</v>
      </c>
      <c r="E663" s="2" t="s">
        <v>1020</v>
      </c>
      <c r="F663" s="2" t="s">
        <v>55</v>
      </c>
    </row>
    <row r="664" customFormat="false" ht="15" hidden="false" customHeight="false" outlineLevel="0" collapsed="false">
      <c r="A664" s="2" t="n">
        <v>663</v>
      </c>
      <c r="B664" s="2" t="s">
        <v>57</v>
      </c>
      <c r="C664" s="2" t="s">
        <v>7</v>
      </c>
      <c r="D664" s="2" t="s">
        <v>1049</v>
      </c>
      <c r="E664" s="2" t="s">
        <v>1020</v>
      </c>
      <c r="F664" s="2" t="s">
        <v>57</v>
      </c>
    </row>
    <row r="665" customFormat="false" ht="15" hidden="false" customHeight="false" outlineLevel="0" collapsed="false">
      <c r="A665" s="2" t="n">
        <v>664</v>
      </c>
      <c r="B665" s="2" t="s">
        <v>58</v>
      </c>
      <c r="C665" s="2" t="s">
        <v>7</v>
      </c>
      <c r="D665" s="2" t="s">
        <v>1050</v>
      </c>
      <c r="E665" s="2" t="s">
        <v>1020</v>
      </c>
      <c r="F665" s="2" t="s">
        <v>58</v>
      </c>
    </row>
    <row r="666" customFormat="false" ht="15" hidden="false" customHeight="false" outlineLevel="0" collapsed="false">
      <c r="A666" s="2" t="n">
        <v>665</v>
      </c>
      <c r="B666" s="2" t="s">
        <v>60</v>
      </c>
      <c r="C666" s="2" t="s">
        <v>7</v>
      </c>
      <c r="D666" s="2" t="s">
        <v>1050</v>
      </c>
      <c r="E666" s="2" t="s">
        <v>1020</v>
      </c>
      <c r="F666" s="2" t="s">
        <v>60</v>
      </c>
    </row>
    <row r="667" customFormat="false" ht="15" hidden="false" customHeight="false" outlineLevel="0" collapsed="false">
      <c r="A667" s="2" t="n">
        <v>666</v>
      </c>
      <c r="B667" s="2" t="s">
        <v>61</v>
      </c>
      <c r="C667" s="2" t="s">
        <v>7</v>
      </c>
      <c r="D667" s="2" t="s">
        <v>1050</v>
      </c>
      <c r="E667" s="2" t="s">
        <v>1020</v>
      </c>
      <c r="F667" s="2" t="s">
        <v>61</v>
      </c>
    </row>
    <row r="668" customFormat="false" ht="15" hidden="false" customHeight="false" outlineLevel="0" collapsed="false">
      <c r="A668" s="2" t="n">
        <v>667</v>
      </c>
      <c r="B668" s="2" t="s">
        <v>62</v>
      </c>
      <c r="C668" s="2" t="s">
        <v>7</v>
      </c>
      <c r="D668" s="2" t="s">
        <v>1050</v>
      </c>
      <c r="E668" s="2" t="s">
        <v>1020</v>
      </c>
      <c r="F668" s="2" t="s">
        <v>62</v>
      </c>
    </row>
    <row r="669" customFormat="false" ht="15" hidden="false" customHeight="false" outlineLevel="0" collapsed="false">
      <c r="A669" s="2" t="n">
        <v>668</v>
      </c>
      <c r="B669" s="2" t="s">
        <v>266</v>
      </c>
      <c r="C669" s="2" t="s">
        <v>7</v>
      </c>
      <c r="D669" s="2" t="s">
        <v>1047</v>
      </c>
      <c r="E669" s="2" t="s">
        <v>1020</v>
      </c>
      <c r="F669" s="2" t="s">
        <v>266</v>
      </c>
    </row>
    <row r="670" customFormat="false" ht="15" hidden="false" customHeight="false" outlineLevel="0" collapsed="false">
      <c r="A670" s="2" t="n">
        <v>669</v>
      </c>
      <c r="B670" s="2" t="s">
        <v>1051</v>
      </c>
      <c r="C670" s="2" t="s">
        <v>7</v>
      </c>
      <c r="D670" s="2" t="s">
        <v>1047</v>
      </c>
      <c r="E670" s="2" t="s">
        <v>1020</v>
      </c>
      <c r="F670" s="2" t="s">
        <v>1051</v>
      </c>
    </row>
    <row r="671" customFormat="false" ht="15" hidden="false" customHeight="false" outlineLevel="0" collapsed="false">
      <c r="A671" s="2" t="n">
        <v>670</v>
      </c>
      <c r="B671" s="2" t="s">
        <v>1052</v>
      </c>
      <c r="C671" s="2" t="s">
        <v>7</v>
      </c>
      <c r="D671" s="2" t="s">
        <v>1047</v>
      </c>
      <c r="E671" s="2" t="s">
        <v>1020</v>
      </c>
      <c r="F671" s="2" t="s">
        <v>1052</v>
      </c>
    </row>
    <row r="672" customFormat="false" ht="15" hidden="false" customHeight="false" outlineLevel="0" collapsed="false">
      <c r="A672" s="2" t="n">
        <v>671</v>
      </c>
      <c r="B672" s="2" t="s">
        <v>262</v>
      </c>
      <c r="C672" s="2" t="s">
        <v>7</v>
      </c>
      <c r="D672" s="2" t="s">
        <v>1053</v>
      </c>
      <c r="E672" s="2" t="s">
        <v>1020</v>
      </c>
      <c r="F672" s="2" t="s">
        <v>262</v>
      </c>
    </row>
    <row r="673" customFormat="false" ht="15" hidden="false" customHeight="false" outlineLevel="0" collapsed="false">
      <c r="A673" s="2" t="n">
        <v>672</v>
      </c>
      <c r="B673" s="2" t="s">
        <v>1054</v>
      </c>
      <c r="C673" s="2" t="s">
        <v>7</v>
      </c>
      <c r="D673" s="2" t="s">
        <v>1055</v>
      </c>
      <c r="E673" s="2" t="s">
        <v>1020</v>
      </c>
      <c r="F673" s="2" t="s">
        <v>1054</v>
      </c>
    </row>
    <row r="674" customFormat="false" ht="15" hidden="false" customHeight="false" outlineLevel="0" collapsed="false">
      <c r="A674" s="2" t="n">
        <v>673</v>
      </c>
      <c r="B674" s="2" t="s">
        <v>187</v>
      </c>
      <c r="C674" s="2" t="s">
        <v>7</v>
      </c>
      <c r="D674" s="2" t="s">
        <v>1056</v>
      </c>
      <c r="E674" s="2" t="s">
        <v>1020</v>
      </c>
      <c r="F674" s="2" t="s">
        <v>187</v>
      </c>
    </row>
    <row r="675" customFormat="false" ht="15" hidden="false" customHeight="false" outlineLevel="0" collapsed="false">
      <c r="A675" s="2" t="n">
        <v>674</v>
      </c>
      <c r="B675" s="2" t="s">
        <v>654</v>
      </c>
      <c r="C675" s="2" t="s">
        <v>7</v>
      </c>
      <c r="D675" s="2" t="s">
        <v>1057</v>
      </c>
      <c r="E675" s="2" t="s">
        <v>1020</v>
      </c>
      <c r="F675" s="2" t="s">
        <v>654</v>
      </c>
    </row>
    <row r="676" customFormat="false" ht="15" hidden="false" customHeight="false" outlineLevel="0" collapsed="false">
      <c r="A676" s="2" t="n">
        <v>675</v>
      </c>
      <c r="B676" s="2" t="s">
        <v>1058</v>
      </c>
      <c r="C676" s="2" t="s">
        <v>7</v>
      </c>
      <c r="D676" s="2" t="s">
        <v>1059</v>
      </c>
      <c r="E676" s="2" t="s">
        <v>1020</v>
      </c>
      <c r="F676" s="2" t="s">
        <v>1058</v>
      </c>
    </row>
    <row r="677" customFormat="false" ht="15" hidden="false" customHeight="false" outlineLevel="0" collapsed="false">
      <c r="A677" s="2" t="n">
        <v>676</v>
      </c>
      <c r="B677" s="2" t="s">
        <v>1060</v>
      </c>
      <c r="C677" s="2" t="s">
        <v>7</v>
      </c>
      <c r="D677" s="2" t="s">
        <v>1059</v>
      </c>
      <c r="E677" s="2" t="s">
        <v>1020</v>
      </c>
      <c r="F677" s="2" t="s">
        <v>1060</v>
      </c>
    </row>
    <row r="678" customFormat="false" ht="15" hidden="false" customHeight="false" outlineLevel="0" collapsed="false">
      <c r="A678" s="2" t="n">
        <v>677</v>
      </c>
      <c r="B678" s="2" t="s">
        <v>1061</v>
      </c>
      <c r="C678" s="2" t="s">
        <v>68</v>
      </c>
      <c r="D678" s="2" t="s">
        <v>197</v>
      </c>
      <c r="E678" s="2" t="s">
        <v>1020</v>
      </c>
      <c r="F678" s="2" t="s">
        <v>82</v>
      </c>
    </row>
    <row r="679" customFormat="false" ht="15" hidden="false" customHeight="false" outlineLevel="0" collapsed="false">
      <c r="A679" s="2" t="n">
        <v>678</v>
      </c>
      <c r="B679" s="2" t="s">
        <v>1062</v>
      </c>
      <c r="C679" s="2" t="s">
        <v>68</v>
      </c>
      <c r="D679" s="2" t="s">
        <v>1063</v>
      </c>
      <c r="E679" s="2" t="s">
        <v>1020</v>
      </c>
      <c r="F679" s="2" t="s">
        <v>85</v>
      </c>
    </row>
    <row r="680" customFormat="false" ht="15" hidden="false" customHeight="false" outlineLevel="0" collapsed="false">
      <c r="A680" s="2" t="n">
        <v>679</v>
      </c>
      <c r="B680" s="2" t="s">
        <v>1064</v>
      </c>
      <c r="C680" s="2" t="s">
        <v>68</v>
      </c>
      <c r="D680" s="2" t="s">
        <v>1065</v>
      </c>
      <c r="E680" s="2" t="s">
        <v>1020</v>
      </c>
      <c r="F680" s="2" t="s">
        <v>1064</v>
      </c>
    </row>
    <row r="681" customFormat="false" ht="15" hidden="false" customHeight="false" outlineLevel="0" collapsed="false">
      <c r="A681" s="2" t="n">
        <v>680</v>
      </c>
      <c r="B681" s="2" t="s">
        <v>86</v>
      </c>
      <c r="C681" s="2" t="s">
        <v>68</v>
      </c>
      <c r="D681" s="2" t="s">
        <v>1066</v>
      </c>
      <c r="E681" s="2" t="s">
        <v>1020</v>
      </c>
      <c r="F681" s="2" t="s">
        <v>86</v>
      </c>
    </row>
    <row r="682" customFormat="false" ht="15" hidden="false" customHeight="false" outlineLevel="0" collapsed="false">
      <c r="A682" s="2" t="n">
        <v>681</v>
      </c>
      <c r="B682" s="2" t="s">
        <v>1067</v>
      </c>
      <c r="C682" s="2" t="s">
        <v>68</v>
      </c>
      <c r="D682" s="2" t="s">
        <v>1068</v>
      </c>
      <c r="E682" s="2" t="s">
        <v>1020</v>
      </c>
      <c r="F682" s="2" t="s">
        <v>203</v>
      </c>
    </row>
    <row r="683" customFormat="false" ht="15" hidden="false" customHeight="false" outlineLevel="0" collapsed="false">
      <c r="A683" s="2" t="n">
        <v>682</v>
      </c>
      <c r="B683" s="2" t="s">
        <v>1069</v>
      </c>
      <c r="C683" s="2" t="s">
        <v>68</v>
      </c>
      <c r="D683" s="2" t="s">
        <v>1070</v>
      </c>
      <c r="E683" s="2" t="s">
        <v>1020</v>
      </c>
      <c r="F683" s="2" t="s">
        <v>100</v>
      </c>
    </row>
    <row r="684" customFormat="false" ht="15" hidden="false" customHeight="false" outlineLevel="0" collapsed="false">
      <c r="A684" s="2" t="n">
        <v>683</v>
      </c>
      <c r="B684" s="2" t="s">
        <v>1071</v>
      </c>
      <c r="C684" s="2" t="s">
        <v>68</v>
      </c>
      <c r="D684" s="2" t="s">
        <v>1072</v>
      </c>
      <c r="E684" s="2" t="s">
        <v>1020</v>
      </c>
      <c r="F684" s="2" t="s">
        <v>208</v>
      </c>
    </row>
    <row r="685" customFormat="false" ht="15" hidden="false" customHeight="false" outlineLevel="0" collapsed="false">
      <c r="A685" s="2" t="n">
        <v>684</v>
      </c>
      <c r="B685" s="2" t="s">
        <v>1073</v>
      </c>
      <c r="C685" s="2" t="s">
        <v>68</v>
      </c>
      <c r="D685" s="2" t="s">
        <v>1074</v>
      </c>
      <c r="E685" s="2" t="s">
        <v>1020</v>
      </c>
      <c r="F685" s="2" t="s">
        <v>232</v>
      </c>
    </row>
    <row r="686" customFormat="false" ht="15" hidden="false" customHeight="false" outlineLevel="0" collapsed="false">
      <c r="A686" s="2" t="n">
        <v>685</v>
      </c>
      <c r="B686" s="2" t="s">
        <v>1075</v>
      </c>
      <c r="C686" s="2" t="s">
        <v>68</v>
      </c>
      <c r="D686" s="2" t="s">
        <v>1076</v>
      </c>
      <c r="E686" s="2" t="s">
        <v>1020</v>
      </c>
      <c r="F686" s="2" t="s">
        <v>116</v>
      </c>
    </row>
    <row r="687" customFormat="false" ht="15" hidden="false" customHeight="false" outlineLevel="0" collapsed="false">
      <c r="A687" s="2" t="n">
        <v>686</v>
      </c>
      <c r="B687" s="2" t="s">
        <v>1077</v>
      </c>
      <c r="C687" s="2" t="s">
        <v>68</v>
      </c>
      <c r="D687" s="2" t="s">
        <v>1078</v>
      </c>
      <c r="E687" s="2" t="s">
        <v>1020</v>
      </c>
      <c r="F687" s="2" t="s">
        <v>121</v>
      </c>
    </row>
    <row r="688" customFormat="false" ht="15" hidden="false" customHeight="false" outlineLevel="0" collapsed="false">
      <c r="A688" s="2" t="n">
        <v>687</v>
      </c>
      <c r="B688" s="2" t="s">
        <v>1079</v>
      </c>
      <c r="C688" s="2" t="s">
        <v>68</v>
      </c>
      <c r="D688" s="2" t="s">
        <v>1080</v>
      </c>
      <c r="E688" s="2" t="s">
        <v>1020</v>
      </c>
      <c r="F688" s="2" t="s">
        <v>238</v>
      </c>
    </row>
    <row r="689" customFormat="false" ht="15" hidden="false" customHeight="false" outlineLevel="0" collapsed="false">
      <c r="A689" s="2" t="n">
        <v>688</v>
      </c>
      <c r="B689" s="2" t="s">
        <v>1081</v>
      </c>
      <c r="C689" s="2" t="s">
        <v>68</v>
      </c>
      <c r="D689" s="2" t="s">
        <v>1082</v>
      </c>
      <c r="E689" s="2" t="s">
        <v>1020</v>
      </c>
      <c r="F689" s="2" t="s">
        <v>124</v>
      </c>
    </row>
    <row r="690" customFormat="false" ht="15" hidden="false" customHeight="false" outlineLevel="0" collapsed="false">
      <c r="A690" s="2" t="n">
        <v>689</v>
      </c>
      <c r="B690" s="2" t="s">
        <v>1083</v>
      </c>
      <c r="C690" s="2" t="s">
        <v>68</v>
      </c>
      <c r="D690" s="2" t="s">
        <v>1084</v>
      </c>
      <c r="E690" s="2" t="s">
        <v>1020</v>
      </c>
      <c r="F690" s="2" t="s">
        <v>133</v>
      </c>
    </row>
    <row r="691" customFormat="false" ht="15" hidden="false" customHeight="false" outlineLevel="0" collapsed="false">
      <c r="A691" s="2" t="n">
        <v>690</v>
      </c>
      <c r="B691" s="2" t="s">
        <v>1085</v>
      </c>
      <c r="C691" s="2" t="s">
        <v>68</v>
      </c>
      <c r="D691" s="2" t="s">
        <v>1086</v>
      </c>
      <c r="E691" s="2" t="s">
        <v>1020</v>
      </c>
      <c r="F691" s="2" t="s">
        <v>127</v>
      </c>
    </row>
    <row r="692" customFormat="false" ht="15" hidden="false" customHeight="false" outlineLevel="0" collapsed="false">
      <c r="A692" s="2" t="n">
        <v>691</v>
      </c>
      <c r="B692" s="2" t="s">
        <v>1087</v>
      </c>
      <c r="C692" s="2" t="s">
        <v>68</v>
      </c>
      <c r="D692" s="2" t="s">
        <v>1088</v>
      </c>
      <c r="E692" s="2" t="s">
        <v>1020</v>
      </c>
      <c r="F692" s="2" t="s">
        <v>141</v>
      </c>
    </row>
    <row r="693" customFormat="false" ht="15" hidden="false" customHeight="false" outlineLevel="0" collapsed="false">
      <c r="A693" s="2" t="n">
        <v>692</v>
      </c>
      <c r="B693" s="2" t="s">
        <v>1089</v>
      </c>
      <c r="C693" s="2" t="s">
        <v>68</v>
      </c>
      <c r="D693" s="2" t="s">
        <v>1090</v>
      </c>
      <c r="E693" s="2" t="s">
        <v>1020</v>
      </c>
      <c r="F693" s="2" t="s">
        <v>141</v>
      </c>
    </row>
    <row r="694" customFormat="false" ht="15" hidden="false" customHeight="false" outlineLevel="0" collapsed="false">
      <c r="A694" s="2" t="n">
        <v>693</v>
      </c>
      <c r="B694" s="2" t="s">
        <v>1091</v>
      </c>
      <c r="C694" s="2" t="s">
        <v>68</v>
      </c>
      <c r="D694" s="2" t="s">
        <v>1092</v>
      </c>
      <c r="E694" s="2" t="s">
        <v>1020</v>
      </c>
      <c r="F694" s="2" t="s">
        <v>305</v>
      </c>
    </row>
    <row r="695" customFormat="false" ht="15" hidden="false" customHeight="false" outlineLevel="0" collapsed="false">
      <c r="A695" s="2" t="n">
        <v>694</v>
      </c>
      <c r="B695" s="2" t="s">
        <v>1093</v>
      </c>
      <c r="C695" s="2" t="s">
        <v>68</v>
      </c>
      <c r="D695" s="2" t="s">
        <v>1094</v>
      </c>
      <c r="E695" s="2" t="s">
        <v>1020</v>
      </c>
      <c r="F695" s="2" t="s">
        <v>90</v>
      </c>
    </row>
    <row r="696" customFormat="false" ht="15" hidden="false" customHeight="false" outlineLevel="0" collapsed="false">
      <c r="A696" s="2" t="n">
        <v>695</v>
      </c>
      <c r="B696" s="2" t="s">
        <v>1095</v>
      </c>
      <c r="C696" s="2" t="s">
        <v>68</v>
      </c>
      <c r="D696" s="2" t="s">
        <v>1096</v>
      </c>
      <c r="E696" s="2" t="s">
        <v>1020</v>
      </c>
      <c r="F696" s="2" t="s">
        <v>440</v>
      </c>
    </row>
    <row r="697" customFormat="false" ht="15" hidden="false" customHeight="false" outlineLevel="0" collapsed="false">
      <c r="A697" s="2" t="n">
        <v>696</v>
      </c>
      <c r="B697" s="2" t="s">
        <v>1097</v>
      </c>
      <c r="C697" s="2" t="s">
        <v>68</v>
      </c>
      <c r="D697" s="2" t="s">
        <v>1098</v>
      </c>
      <c r="E697" s="2" t="s">
        <v>1020</v>
      </c>
      <c r="F697" s="2" t="s">
        <v>443</v>
      </c>
    </row>
    <row r="698" customFormat="false" ht="15" hidden="false" customHeight="false" outlineLevel="0" collapsed="false">
      <c r="A698" s="2" t="n">
        <v>697</v>
      </c>
      <c r="B698" s="2" t="s">
        <v>6</v>
      </c>
      <c r="C698" s="2" t="s">
        <v>7</v>
      </c>
      <c r="D698" s="2" t="s">
        <v>1099</v>
      </c>
      <c r="E698" s="2" t="s">
        <v>1100</v>
      </c>
      <c r="F698" s="2" t="s">
        <v>6</v>
      </c>
    </row>
    <row r="699" customFormat="false" ht="15" hidden="false" customHeight="false" outlineLevel="0" collapsed="false">
      <c r="A699" s="2" t="n">
        <v>698</v>
      </c>
      <c r="B699" s="2" t="s">
        <v>12</v>
      </c>
      <c r="C699" s="2" t="s">
        <v>7</v>
      </c>
      <c r="D699" s="2" t="s">
        <v>1019</v>
      </c>
      <c r="E699" s="2" t="s">
        <v>1100</v>
      </c>
      <c r="F699" s="2" t="s">
        <v>12</v>
      </c>
    </row>
    <row r="700" customFormat="false" ht="15" hidden="false" customHeight="false" outlineLevel="0" collapsed="false">
      <c r="A700" s="2" t="n">
        <v>699</v>
      </c>
      <c r="B700" s="2" t="s">
        <v>20</v>
      </c>
      <c r="C700" s="2" t="s">
        <v>7</v>
      </c>
      <c r="D700" s="2" t="s">
        <v>1101</v>
      </c>
      <c r="E700" s="2" t="s">
        <v>1100</v>
      </c>
      <c r="F700" s="2" t="s">
        <v>20</v>
      </c>
    </row>
    <row r="701" customFormat="false" ht="15" hidden="false" customHeight="false" outlineLevel="0" collapsed="false">
      <c r="A701" s="2" t="n">
        <v>700</v>
      </c>
      <c r="B701" s="2" t="s">
        <v>18</v>
      </c>
      <c r="C701" s="2" t="s">
        <v>7</v>
      </c>
      <c r="D701" s="2" t="s">
        <v>1102</v>
      </c>
      <c r="E701" s="2" t="s">
        <v>1100</v>
      </c>
      <c r="F701" s="2" t="s">
        <v>18</v>
      </c>
    </row>
    <row r="702" customFormat="false" ht="15" hidden="false" customHeight="false" outlineLevel="0" collapsed="false">
      <c r="A702" s="2" t="n">
        <v>701</v>
      </c>
      <c r="B702" s="2" t="s">
        <v>24</v>
      </c>
      <c r="C702" s="2" t="s">
        <v>7</v>
      </c>
      <c r="D702" s="2" t="s">
        <v>1103</v>
      </c>
      <c r="E702" s="2" t="s">
        <v>1100</v>
      </c>
      <c r="F702" s="2" t="s">
        <v>24</v>
      </c>
    </row>
    <row r="703" customFormat="false" ht="15" hidden="false" customHeight="false" outlineLevel="0" collapsed="false">
      <c r="A703" s="2" t="n">
        <v>702</v>
      </c>
      <c r="B703" s="2" t="s">
        <v>26</v>
      </c>
      <c r="C703" s="2" t="s">
        <v>7</v>
      </c>
      <c r="D703" s="2" t="s">
        <v>1103</v>
      </c>
      <c r="E703" s="2" t="s">
        <v>1100</v>
      </c>
      <c r="F703" s="2" t="s">
        <v>26</v>
      </c>
    </row>
    <row r="704" customFormat="false" ht="15" hidden="false" customHeight="false" outlineLevel="0" collapsed="false">
      <c r="A704" s="2" t="n">
        <v>703</v>
      </c>
      <c r="B704" s="2" t="s">
        <v>22</v>
      </c>
      <c r="C704" s="2" t="s">
        <v>7</v>
      </c>
      <c r="D704" s="2" t="s">
        <v>1104</v>
      </c>
      <c r="E704" s="2" t="s">
        <v>1100</v>
      </c>
      <c r="F704" s="2" t="s">
        <v>22</v>
      </c>
    </row>
    <row r="705" customFormat="false" ht="15" hidden="false" customHeight="false" outlineLevel="0" collapsed="false">
      <c r="A705" s="2" t="n">
        <v>704</v>
      </c>
      <c r="B705" s="2" t="s">
        <v>27</v>
      </c>
      <c r="C705" s="2" t="s">
        <v>7</v>
      </c>
      <c r="D705" s="2" t="s">
        <v>1105</v>
      </c>
      <c r="E705" s="2" t="s">
        <v>1100</v>
      </c>
      <c r="F705" s="2" t="s">
        <v>27</v>
      </c>
    </row>
    <row r="706" customFormat="false" ht="15" hidden="false" customHeight="false" outlineLevel="0" collapsed="false">
      <c r="A706" s="2" t="n">
        <v>705</v>
      </c>
      <c r="B706" s="2" t="s">
        <v>16</v>
      </c>
      <c r="C706" s="2" t="s">
        <v>7</v>
      </c>
      <c r="D706" s="2" t="s">
        <v>907</v>
      </c>
      <c r="E706" s="2" t="s">
        <v>1100</v>
      </c>
      <c r="F706" s="2" t="s">
        <v>16</v>
      </c>
    </row>
    <row r="707" customFormat="false" ht="15" hidden="false" customHeight="false" outlineLevel="0" collapsed="false">
      <c r="A707" s="2" t="n">
        <v>706</v>
      </c>
      <c r="B707" s="2" t="s">
        <v>320</v>
      </c>
      <c r="C707" s="2" t="s">
        <v>7</v>
      </c>
      <c r="D707" s="2" t="s">
        <v>1106</v>
      </c>
      <c r="E707" s="2" t="s">
        <v>1100</v>
      </c>
      <c r="F707" s="2" t="s">
        <v>320</v>
      </c>
    </row>
    <row r="708" customFormat="false" ht="15" hidden="false" customHeight="false" outlineLevel="0" collapsed="false">
      <c r="A708" s="2" t="n">
        <v>707</v>
      </c>
      <c r="B708" s="2" t="s">
        <v>1107</v>
      </c>
      <c r="C708" s="2" t="s">
        <v>7</v>
      </c>
      <c r="D708" s="2" t="s">
        <v>1108</v>
      </c>
      <c r="E708" s="2" t="s">
        <v>1100</v>
      </c>
      <c r="F708" s="2" t="s">
        <v>1107</v>
      </c>
    </row>
    <row r="709" customFormat="false" ht="15" hidden="false" customHeight="false" outlineLevel="0" collapsed="false">
      <c r="A709" s="2" t="n">
        <v>708</v>
      </c>
      <c r="B709" s="2" t="s">
        <v>55</v>
      </c>
      <c r="C709" s="2" t="s">
        <v>7</v>
      </c>
      <c r="D709" s="2" t="s">
        <v>1109</v>
      </c>
      <c r="E709" s="2" t="s">
        <v>1100</v>
      </c>
      <c r="F709" s="2" t="s">
        <v>55</v>
      </c>
    </row>
    <row r="710" customFormat="false" ht="15" hidden="false" customHeight="false" outlineLevel="0" collapsed="false">
      <c r="A710" s="2" t="n">
        <v>709</v>
      </c>
      <c r="B710" s="2" t="s">
        <v>57</v>
      </c>
      <c r="C710" s="2" t="s">
        <v>7</v>
      </c>
      <c r="D710" s="2" t="s">
        <v>1109</v>
      </c>
      <c r="E710" s="2" t="s">
        <v>1100</v>
      </c>
      <c r="F710" s="2" t="s">
        <v>57</v>
      </c>
    </row>
    <row r="711" customFormat="false" ht="15" hidden="false" customHeight="false" outlineLevel="0" collapsed="false">
      <c r="A711" s="2" t="n">
        <v>710</v>
      </c>
      <c r="B711" s="2" t="s">
        <v>1110</v>
      </c>
      <c r="C711" s="2" t="s">
        <v>7</v>
      </c>
      <c r="D711" s="2" t="s">
        <v>1111</v>
      </c>
      <c r="E711" s="2" t="s">
        <v>1100</v>
      </c>
      <c r="F711" s="2" t="s">
        <v>58</v>
      </c>
    </row>
    <row r="712" customFormat="false" ht="15" hidden="false" customHeight="false" outlineLevel="0" collapsed="false">
      <c r="A712" s="2" t="n">
        <v>711</v>
      </c>
      <c r="B712" s="2" t="s">
        <v>947</v>
      </c>
      <c r="C712" s="2" t="s">
        <v>7</v>
      </c>
      <c r="D712" s="2" t="s">
        <v>1112</v>
      </c>
      <c r="E712" s="2" t="s">
        <v>1100</v>
      </c>
      <c r="F712" s="2" t="s">
        <v>947</v>
      </c>
    </row>
    <row r="713" customFormat="false" ht="15" hidden="false" customHeight="false" outlineLevel="0" collapsed="false">
      <c r="A713" s="2" t="n">
        <v>712</v>
      </c>
      <c r="B713" s="2" t="s">
        <v>949</v>
      </c>
      <c r="C713" s="2" t="s">
        <v>7</v>
      </c>
      <c r="D713" s="2" t="s">
        <v>1112</v>
      </c>
      <c r="E713" s="2" t="s">
        <v>1100</v>
      </c>
      <c r="F713" s="2" t="s">
        <v>949</v>
      </c>
    </row>
    <row r="714" customFormat="false" ht="15" hidden="false" customHeight="false" outlineLevel="0" collapsed="false">
      <c r="A714" s="2" t="n">
        <v>713</v>
      </c>
      <c r="B714" s="2" t="s">
        <v>950</v>
      </c>
      <c r="C714" s="2" t="s">
        <v>7</v>
      </c>
      <c r="D714" s="2" t="s">
        <v>1112</v>
      </c>
      <c r="E714" s="2" t="s">
        <v>1100</v>
      </c>
      <c r="F714" s="2" t="s">
        <v>950</v>
      </c>
    </row>
    <row r="715" customFormat="false" ht="15" hidden="false" customHeight="false" outlineLevel="0" collapsed="false">
      <c r="A715" s="2" t="n">
        <v>714</v>
      </c>
      <c r="B715" s="2" t="s">
        <v>155</v>
      </c>
      <c r="C715" s="2" t="s">
        <v>7</v>
      </c>
      <c r="D715" s="2" t="s">
        <v>1113</v>
      </c>
      <c r="E715" s="2" t="s">
        <v>1100</v>
      </c>
      <c r="F715" s="2" t="s">
        <v>155</v>
      </c>
    </row>
    <row r="716" customFormat="false" ht="15" hidden="false" customHeight="false" outlineLevel="0" collapsed="false">
      <c r="A716" s="2" t="n">
        <v>715</v>
      </c>
      <c r="B716" s="2" t="s">
        <v>1025</v>
      </c>
      <c r="C716" s="2" t="s">
        <v>7</v>
      </c>
      <c r="D716" s="2" t="s">
        <v>1114</v>
      </c>
      <c r="E716" s="2" t="s">
        <v>1100</v>
      </c>
      <c r="F716" s="2" t="s">
        <v>1025</v>
      </c>
    </row>
    <row r="717" customFormat="false" ht="15" hidden="false" customHeight="false" outlineLevel="0" collapsed="false">
      <c r="A717" s="2" t="n">
        <v>716</v>
      </c>
      <c r="B717" s="2" t="s">
        <v>1115</v>
      </c>
      <c r="C717" s="2" t="s">
        <v>7</v>
      </c>
      <c r="D717" s="2" t="s">
        <v>1116</v>
      </c>
      <c r="E717" s="2" t="s">
        <v>1100</v>
      </c>
      <c r="F717" s="2" t="s">
        <v>1115</v>
      </c>
    </row>
    <row r="718" customFormat="false" ht="15" hidden="false" customHeight="false" outlineLevel="0" collapsed="false">
      <c r="A718" s="2" t="n">
        <v>717</v>
      </c>
      <c r="B718" s="2" t="s">
        <v>262</v>
      </c>
      <c r="C718" s="2" t="s">
        <v>7</v>
      </c>
      <c r="D718" s="2" t="s">
        <v>1117</v>
      </c>
      <c r="E718" s="2" t="s">
        <v>1100</v>
      </c>
      <c r="F718" s="2" t="s">
        <v>262</v>
      </c>
    </row>
    <row r="719" customFormat="false" ht="15" hidden="false" customHeight="false" outlineLevel="0" collapsed="false">
      <c r="A719" s="2" t="n">
        <v>718</v>
      </c>
      <c r="B719" s="2" t="s">
        <v>53</v>
      </c>
      <c r="C719" s="2" t="s">
        <v>7</v>
      </c>
      <c r="D719" s="2" t="s">
        <v>1118</v>
      </c>
      <c r="E719" s="2" t="s">
        <v>1100</v>
      </c>
      <c r="F719" s="2" t="s">
        <v>53</v>
      </c>
    </row>
    <row r="720" customFormat="false" ht="15" hidden="false" customHeight="false" outlineLevel="0" collapsed="false">
      <c r="A720" s="2" t="n">
        <v>719</v>
      </c>
      <c r="B720" s="2" t="s">
        <v>40</v>
      </c>
      <c r="C720" s="2" t="s">
        <v>7</v>
      </c>
      <c r="D720" s="2" t="s">
        <v>1119</v>
      </c>
      <c r="E720" s="2" t="s">
        <v>1100</v>
      </c>
      <c r="F720" s="2" t="s">
        <v>40</v>
      </c>
    </row>
    <row r="721" customFormat="false" ht="15" hidden="false" customHeight="false" outlineLevel="0" collapsed="false">
      <c r="A721" s="2" t="n">
        <v>720</v>
      </c>
      <c r="B721" s="2" t="s">
        <v>414</v>
      </c>
      <c r="C721" s="2" t="s">
        <v>7</v>
      </c>
      <c r="D721" s="2" t="s">
        <v>1120</v>
      </c>
      <c r="E721" s="2" t="s">
        <v>1100</v>
      </c>
      <c r="F721" s="2" t="s">
        <v>414</v>
      </c>
    </row>
    <row r="722" customFormat="false" ht="15" hidden="false" customHeight="false" outlineLevel="0" collapsed="false">
      <c r="A722" s="2" t="n">
        <v>721</v>
      </c>
      <c r="B722" s="2" t="s">
        <v>397</v>
      </c>
      <c r="C722" s="2" t="s">
        <v>7</v>
      </c>
      <c r="D722" s="2" t="s">
        <v>1121</v>
      </c>
      <c r="E722" s="2" t="s">
        <v>1100</v>
      </c>
      <c r="F722" s="2" t="s">
        <v>397</v>
      </c>
    </row>
    <row r="723" customFormat="false" ht="15" hidden="false" customHeight="false" outlineLevel="0" collapsed="false">
      <c r="A723" s="2" t="n">
        <v>722</v>
      </c>
      <c r="B723" s="2" t="s">
        <v>413</v>
      </c>
      <c r="C723" s="2" t="s">
        <v>7</v>
      </c>
      <c r="D723" s="2" t="s">
        <v>1122</v>
      </c>
      <c r="E723" s="2" t="s">
        <v>1100</v>
      </c>
      <c r="F723" s="2" t="s">
        <v>413</v>
      </c>
    </row>
    <row r="724" customFormat="false" ht="15" hidden="false" customHeight="false" outlineLevel="0" collapsed="false">
      <c r="A724" s="2" t="n">
        <v>723</v>
      </c>
      <c r="B724" s="2" t="s">
        <v>403</v>
      </c>
      <c r="C724" s="2" t="s">
        <v>7</v>
      </c>
      <c r="D724" s="2" t="s">
        <v>1123</v>
      </c>
      <c r="E724" s="2" t="s">
        <v>1100</v>
      </c>
      <c r="F724" s="2" t="s">
        <v>403</v>
      </c>
    </row>
    <row r="725" customFormat="false" ht="15" hidden="false" customHeight="false" outlineLevel="0" collapsed="false">
      <c r="A725" s="2" t="n">
        <v>724</v>
      </c>
      <c r="B725" s="2" t="s">
        <v>1124</v>
      </c>
      <c r="C725" s="2" t="s">
        <v>7</v>
      </c>
      <c r="D725" s="2" t="s">
        <v>1125</v>
      </c>
      <c r="E725" s="2" t="s">
        <v>1100</v>
      </c>
      <c r="F725" s="2" t="s">
        <v>1124</v>
      </c>
    </row>
    <row r="726" customFormat="false" ht="15" hidden="false" customHeight="false" outlineLevel="0" collapsed="false">
      <c r="A726" s="2" t="n">
        <v>725</v>
      </c>
      <c r="B726" s="2" t="s">
        <v>1126</v>
      </c>
      <c r="C726" s="2" t="s">
        <v>7</v>
      </c>
      <c r="D726" s="2" t="s">
        <v>1127</v>
      </c>
      <c r="E726" s="2" t="s">
        <v>1100</v>
      </c>
      <c r="F726" s="2" t="s">
        <v>1126</v>
      </c>
    </row>
    <row r="727" customFormat="false" ht="15" hidden="false" customHeight="false" outlineLevel="0" collapsed="false">
      <c r="A727" s="2" t="n">
        <v>726</v>
      </c>
      <c r="B727" s="2" t="s">
        <v>82</v>
      </c>
      <c r="C727" s="2" t="s">
        <v>68</v>
      </c>
      <c r="D727" s="2" t="s">
        <v>197</v>
      </c>
      <c r="E727" s="2" t="s">
        <v>1100</v>
      </c>
      <c r="F727" s="2" t="s">
        <v>82</v>
      </c>
    </row>
    <row r="728" customFormat="false" ht="15" hidden="false" customHeight="false" outlineLevel="0" collapsed="false">
      <c r="A728" s="2" t="n">
        <v>727</v>
      </c>
      <c r="B728" s="2" t="s">
        <v>1128</v>
      </c>
      <c r="C728" s="2" t="s">
        <v>68</v>
      </c>
      <c r="D728" s="2" t="s">
        <v>1129</v>
      </c>
      <c r="E728" s="2" t="s">
        <v>1100</v>
      </c>
      <c r="F728" s="2" t="s">
        <v>100</v>
      </c>
    </row>
    <row r="729" customFormat="false" ht="15" hidden="false" customHeight="false" outlineLevel="0" collapsed="false">
      <c r="A729" s="2" t="n">
        <v>728</v>
      </c>
      <c r="B729" s="2" t="s">
        <v>1130</v>
      </c>
      <c r="C729" s="2" t="s">
        <v>68</v>
      </c>
      <c r="D729" s="2" t="s">
        <v>1131</v>
      </c>
      <c r="E729" s="2" t="s">
        <v>1100</v>
      </c>
      <c r="F729" s="2" t="s">
        <v>208</v>
      </c>
    </row>
    <row r="730" customFormat="false" ht="15" hidden="false" customHeight="false" outlineLevel="0" collapsed="false">
      <c r="A730" s="2" t="n">
        <v>729</v>
      </c>
      <c r="B730" s="2" t="s">
        <v>114</v>
      </c>
      <c r="C730" s="2" t="s">
        <v>68</v>
      </c>
      <c r="D730" s="2" t="s">
        <v>1132</v>
      </c>
      <c r="E730" s="2" t="s">
        <v>1100</v>
      </c>
      <c r="F730" s="2" t="s">
        <v>116</v>
      </c>
    </row>
    <row r="731" customFormat="false" ht="15" hidden="false" customHeight="false" outlineLevel="0" collapsed="false">
      <c r="A731" s="2" t="n">
        <v>730</v>
      </c>
      <c r="B731" s="2" t="s">
        <v>1133</v>
      </c>
      <c r="C731" s="2" t="s">
        <v>68</v>
      </c>
      <c r="D731" s="2" t="s">
        <v>1134</v>
      </c>
      <c r="E731" s="2" t="s">
        <v>1100</v>
      </c>
      <c r="F731" s="2" t="s">
        <v>90</v>
      </c>
    </row>
    <row r="732" customFormat="false" ht="15" hidden="false" customHeight="false" outlineLevel="0" collapsed="false">
      <c r="A732" s="2" t="n">
        <v>731</v>
      </c>
      <c r="B732" s="2" t="s">
        <v>1135</v>
      </c>
      <c r="C732" s="2" t="s">
        <v>68</v>
      </c>
      <c r="D732" s="2" t="s">
        <v>1136</v>
      </c>
      <c r="E732" s="2" t="s">
        <v>1100</v>
      </c>
      <c r="F732" s="2" t="s">
        <v>203</v>
      </c>
    </row>
    <row r="733" customFormat="false" ht="15" hidden="false" customHeight="false" outlineLevel="0" collapsed="false">
      <c r="A733" s="2" t="n">
        <v>732</v>
      </c>
      <c r="B733" s="2" t="s">
        <v>1137</v>
      </c>
      <c r="C733" s="2" t="s">
        <v>68</v>
      </c>
      <c r="D733" s="2" t="s">
        <v>1138</v>
      </c>
      <c r="E733" s="2" t="s">
        <v>1100</v>
      </c>
      <c r="F733" s="2" t="s">
        <v>133</v>
      </c>
    </row>
    <row r="734" customFormat="false" ht="15" hidden="false" customHeight="false" outlineLevel="0" collapsed="false">
      <c r="A734" s="2" t="n">
        <v>733</v>
      </c>
      <c r="B734" s="2" t="s">
        <v>1139</v>
      </c>
      <c r="C734" s="2" t="s">
        <v>68</v>
      </c>
      <c r="D734" s="2" t="s">
        <v>1140</v>
      </c>
      <c r="E734" s="2" t="s">
        <v>1100</v>
      </c>
      <c r="F734" s="2" t="s">
        <v>141</v>
      </c>
    </row>
    <row r="735" customFormat="false" ht="15" hidden="false" customHeight="false" outlineLevel="0" collapsed="false">
      <c r="A735" s="2" t="n">
        <v>734</v>
      </c>
      <c r="B735" s="2" t="s">
        <v>778</v>
      </c>
      <c r="C735" s="2" t="s">
        <v>68</v>
      </c>
      <c r="D735" s="2" t="s">
        <v>1141</v>
      </c>
      <c r="E735" s="2" t="s">
        <v>1100</v>
      </c>
      <c r="F735" s="2" t="s">
        <v>305</v>
      </c>
    </row>
    <row r="736" customFormat="false" ht="15" hidden="false" customHeight="false" outlineLevel="0" collapsed="false">
      <c r="A736" s="2" t="n">
        <v>735</v>
      </c>
      <c r="B736" s="2" t="s">
        <v>1011</v>
      </c>
      <c r="C736" s="2" t="s">
        <v>68</v>
      </c>
      <c r="D736" s="2" t="s">
        <v>1142</v>
      </c>
      <c r="E736" s="2" t="s">
        <v>1100</v>
      </c>
      <c r="F736" s="2" t="s">
        <v>1011</v>
      </c>
    </row>
    <row r="737" customFormat="false" ht="15" hidden="false" customHeight="false" outlineLevel="0" collapsed="false">
      <c r="A737" s="2" t="n">
        <v>736</v>
      </c>
      <c r="B737" s="2" t="s">
        <v>1143</v>
      </c>
      <c r="C737" s="2" t="s">
        <v>68</v>
      </c>
      <c r="D737" s="2" t="s">
        <v>1144</v>
      </c>
      <c r="E737" s="2" t="s">
        <v>1100</v>
      </c>
      <c r="F737" s="2" t="s">
        <v>85</v>
      </c>
    </row>
    <row r="738" customFormat="false" ht="15" hidden="false" customHeight="false" outlineLevel="0" collapsed="false">
      <c r="A738" s="2" t="n">
        <v>737</v>
      </c>
      <c r="B738" s="2" t="s">
        <v>1145</v>
      </c>
      <c r="C738" s="2" t="s">
        <v>68</v>
      </c>
      <c r="D738" s="2" t="s">
        <v>1146</v>
      </c>
      <c r="E738" s="2" t="s">
        <v>1100</v>
      </c>
      <c r="F738" s="2" t="s">
        <v>1145</v>
      </c>
    </row>
    <row r="739" customFormat="false" ht="15" hidden="false" customHeight="false" outlineLevel="0" collapsed="false">
      <c r="A739" s="2" t="n">
        <v>738</v>
      </c>
      <c r="B739" s="2" t="s">
        <v>1147</v>
      </c>
      <c r="C739" s="2" t="s">
        <v>68</v>
      </c>
      <c r="D739" s="2" t="s">
        <v>1148</v>
      </c>
      <c r="E739" s="2" t="s">
        <v>1100</v>
      </c>
      <c r="F739" s="2" t="s">
        <v>475</v>
      </c>
    </row>
  </sheetData>
  <dataValidations count="2">
    <dataValidation allowBlank="true" errorStyle="stop" operator="between" showDropDown="false" showErrorMessage="false" showInputMessage="false" sqref="C2:C1000" type="list">
      <formula1>"Topik,Tokoh"</formula1>
      <formula2>0</formula2>
    </dataValidation>
    <dataValidation allowBlank="true" errorStyle="stop" operator="between" showDropDown="false" showErrorMessage="false" showInputMessage="false" sqref="E2:E1000" type="list">
      <formula1>"GR,CL,PE,QW,TE,CO,LE,DE,KI,GE,ME,GP"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22"/>
    <col collapsed="false" customWidth="true" hidden="false" outlineLevel="0" max="4" min="4" style="0" width="34"/>
    <col collapsed="false" customWidth="true" hidden="false" outlineLevel="0" max="5" min="5" style="0" width="45"/>
  </cols>
  <sheetData>
    <row r="1" customFormat="false" ht="27.75" hidden="false" customHeight="true" outlineLevel="0" collapsed="false">
      <c r="A1" s="1" t="s">
        <v>0</v>
      </c>
      <c r="B1" s="1" t="s">
        <v>4</v>
      </c>
      <c r="C1" s="1" t="s">
        <v>1149</v>
      </c>
      <c r="D1" s="1" t="s">
        <v>1</v>
      </c>
      <c r="E1" s="1" t="s">
        <v>1150</v>
      </c>
    </row>
    <row r="2" customFormat="false" ht="15" hidden="false" customHeight="false" outlineLevel="0" collapsed="false">
      <c r="A2" s="2" t="n">
        <v>1</v>
      </c>
      <c r="B2" s="2" t="s">
        <v>9</v>
      </c>
      <c r="C2" s="2" t="s">
        <v>1151</v>
      </c>
      <c r="D2" s="2" t="s">
        <v>6</v>
      </c>
      <c r="E2" s="2" t="s">
        <v>1152</v>
      </c>
    </row>
    <row r="3" customFormat="false" ht="15" hidden="false" customHeight="false" outlineLevel="0" collapsed="false">
      <c r="A3" s="2" t="n">
        <v>2</v>
      </c>
      <c r="B3" s="2" t="s">
        <v>9</v>
      </c>
      <c r="C3" s="2" t="s">
        <v>1153</v>
      </c>
      <c r="D3" s="2" t="s">
        <v>10</v>
      </c>
      <c r="E3" s="2" t="s">
        <v>1154</v>
      </c>
    </row>
    <row r="4" customFormat="false" ht="15" hidden="false" customHeight="false" outlineLevel="0" collapsed="false">
      <c r="A4" s="2" t="n">
        <v>3</v>
      </c>
      <c r="B4" s="2" t="s">
        <v>9</v>
      </c>
      <c r="C4" s="2" t="s">
        <v>1151</v>
      </c>
      <c r="D4" s="2" t="s">
        <v>12</v>
      </c>
      <c r="E4" s="2" t="s">
        <v>1155</v>
      </c>
    </row>
    <row r="5" customFormat="false" ht="15" hidden="false" customHeight="false" outlineLevel="0" collapsed="false">
      <c r="A5" s="2" t="n">
        <v>4</v>
      </c>
      <c r="B5" s="2" t="s">
        <v>9</v>
      </c>
      <c r="C5" s="2" t="s">
        <v>1153</v>
      </c>
      <c r="D5" s="2" t="s">
        <v>14</v>
      </c>
      <c r="E5" s="2" t="s">
        <v>1156</v>
      </c>
    </row>
    <row r="6" customFormat="false" ht="15" hidden="false" customHeight="false" outlineLevel="0" collapsed="false">
      <c r="A6" s="2" t="n">
        <v>5</v>
      </c>
      <c r="B6" s="2" t="s">
        <v>9</v>
      </c>
      <c r="C6" s="2" t="s">
        <v>1151</v>
      </c>
      <c r="D6" s="2" t="s">
        <v>16</v>
      </c>
      <c r="E6" s="2" t="s">
        <v>1157</v>
      </c>
    </row>
    <row r="7" customFormat="false" ht="15" hidden="false" customHeight="false" outlineLevel="0" collapsed="false">
      <c r="A7" s="2" t="n">
        <v>6</v>
      </c>
      <c r="B7" s="2" t="s">
        <v>9</v>
      </c>
      <c r="C7" s="2" t="s">
        <v>1151</v>
      </c>
      <c r="D7" s="2" t="s">
        <v>18</v>
      </c>
      <c r="E7" s="2" t="s">
        <v>1158</v>
      </c>
    </row>
    <row r="8" customFormat="false" ht="15" hidden="false" customHeight="false" outlineLevel="0" collapsed="false">
      <c r="A8" s="2" t="n">
        <v>7</v>
      </c>
      <c r="B8" s="2" t="s">
        <v>9</v>
      </c>
      <c r="C8" s="2" t="s">
        <v>1151</v>
      </c>
      <c r="D8" s="2" t="s">
        <v>20</v>
      </c>
      <c r="E8" s="2" t="s">
        <v>1159</v>
      </c>
    </row>
    <row r="9" customFormat="false" ht="15" hidden="false" customHeight="false" outlineLevel="0" collapsed="false">
      <c r="A9" s="2" t="n">
        <v>8</v>
      </c>
      <c r="B9" s="2" t="s">
        <v>9</v>
      </c>
      <c r="C9" s="2" t="s">
        <v>1151</v>
      </c>
      <c r="D9" s="2" t="s">
        <v>22</v>
      </c>
      <c r="E9" s="2" t="s">
        <v>1160</v>
      </c>
    </row>
    <row r="10" customFormat="false" ht="15" hidden="false" customHeight="false" outlineLevel="0" collapsed="false">
      <c r="A10" s="2" t="n">
        <v>9</v>
      </c>
      <c r="B10" s="2" t="s">
        <v>9</v>
      </c>
      <c r="C10" s="2" t="s">
        <v>1151</v>
      </c>
      <c r="D10" s="2" t="s">
        <v>24</v>
      </c>
      <c r="E10" s="2" t="s">
        <v>1161</v>
      </c>
    </row>
    <row r="11" customFormat="false" ht="15" hidden="false" customHeight="false" outlineLevel="0" collapsed="false">
      <c r="A11" s="2" t="n">
        <v>10</v>
      </c>
      <c r="B11" s="2" t="s">
        <v>9</v>
      </c>
      <c r="C11" s="2" t="s">
        <v>1151</v>
      </c>
      <c r="D11" s="2" t="s">
        <v>26</v>
      </c>
      <c r="E11" s="2" t="s">
        <v>1161</v>
      </c>
    </row>
    <row r="12" customFormat="false" ht="15" hidden="false" customHeight="false" outlineLevel="0" collapsed="false">
      <c r="A12" s="2" t="n">
        <v>11</v>
      </c>
      <c r="B12" s="2" t="s">
        <v>9</v>
      </c>
      <c r="C12" s="2" t="s">
        <v>1151</v>
      </c>
      <c r="D12" s="2" t="s">
        <v>27</v>
      </c>
      <c r="E12" s="2" t="s">
        <v>1162</v>
      </c>
    </row>
    <row r="13" customFormat="false" ht="15" hidden="false" customHeight="false" outlineLevel="0" collapsed="false">
      <c r="A13" s="2" t="n">
        <v>12</v>
      </c>
      <c r="B13" s="2" t="s">
        <v>9</v>
      </c>
      <c r="C13" s="2" t="s">
        <v>1151</v>
      </c>
      <c r="D13" s="2" t="s">
        <v>29</v>
      </c>
      <c r="E13" s="2" t="s">
        <v>1163</v>
      </c>
    </row>
    <row r="14" customFormat="false" ht="15" hidden="false" customHeight="false" outlineLevel="0" collapsed="false">
      <c r="A14" s="2" t="n">
        <v>13</v>
      </c>
      <c r="B14" s="2" t="s">
        <v>9</v>
      </c>
      <c r="C14" s="2" t="s">
        <v>1151</v>
      </c>
      <c r="D14" s="2" t="s">
        <v>31</v>
      </c>
      <c r="E14" s="2" t="s">
        <v>1164</v>
      </c>
    </row>
    <row r="15" customFormat="false" ht="15" hidden="false" customHeight="false" outlineLevel="0" collapsed="false">
      <c r="A15" s="2" t="n">
        <v>14</v>
      </c>
      <c r="B15" s="2" t="s">
        <v>9</v>
      </c>
      <c r="C15" s="2" t="s">
        <v>1151</v>
      </c>
      <c r="D15" s="2" t="s">
        <v>33</v>
      </c>
      <c r="E15" s="2" t="s">
        <v>1165</v>
      </c>
    </row>
    <row r="16" customFormat="false" ht="15" hidden="false" customHeight="false" outlineLevel="0" collapsed="false">
      <c r="A16" s="2" t="n">
        <v>15</v>
      </c>
      <c r="B16" s="2" t="s">
        <v>9</v>
      </c>
      <c r="C16" s="2" t="s">
        <v>1151</v>
      </c>
      <c r="D16" s="2" t="s">
        <v>36</v>
      </c>
      <c r="E16" s="2" t="s">
        <v>1165</v>
      </c>
    </row>
    <row r="17" customFormat="false" ht="15" hidden="false" customHeight="false" outlineLevel="0" collapsed="false">
      <c r="A17" s="2" t="n">
        <v>16</v>
      </c>
      <c r="B17" s="2" t="s">
        <v>9</v>
      </c>
      <c r="C17" s="2" t="s">
        <v>1151</v>
      </c>
      <c r="D17" s="2" t="s">
        <v>38</v>
      </c>
      <c r="E17" s="2" t="s">
        <v>1163</v>
      </c>
    </row>
    <row r="18" customFormat="false" ht="15" hidden="false" customHeight="false" outlineLevel="0" collapsed="false">
      <c r="A18" s="2" t="n">
        <v>17</v>
      </c>
      <c r="B18" s="2" t="s">
        <v>9</v>
      </c>
      <c r="C18" s="2" t="s">
        <v>1151</v>
      </c>
      <c r="D18" s="2" t="s">
        <v>40</v>
      </c>
      <c r="E18" s="2" t="s">
        <v>1166</v>
      </c>
    </row>
    <row r="19" customFormat="false" ht="15" hidden="false" customHeight="false" outlineLevel="0" collapsed="false">
      <c r="A19" s="2" t="n">
        <v>18</v>
      </c>
      <c r="B19" s="2" t="s">
        <v>9</v>
      </c>
      <c r="C19" s="2" t="s">
        <v>1151</v>
      </c>
      <c r="D19" s="2" t="s">
        <v>42</v>
      </c>
      <c r="E19" s="2" t="s">
        <v>1167</v>
      </c>
    </row>
    <row r="20" customFormat="false" ht="15" hidden="false" customHeight="false" outlineLevel="0" collapsed="false">
      <c r="A20" s="2" t="n">
        <v>19</v>
      </c>
      <c r="B20" s="2" t="s">
        <v>9</v>
      </c>
      <c r="C20" s="2" t="s">
        <v>1151</v>
      </c>
      <c r="D20" s="2" t="s">
        <v>44</v>
      </c>
      <c r="E20" s="2" t="s">
        <v>1167</v>
      </c>
    </row>
    <row r="21" customFormat="false" ht="15" hidden="false" customHeight="false" outlineLevel="0" collapsed="false">
      <c r="A21" s="2" t="n">
        <v>20</v>
      </c>
      <c r="B21" s="2" t="s">
        <v>9</v>
      </c>
      <c r="C21" s="2" t="s">
        <v>1151</v>
      </c>
      <c r="D21" s="2" t="s">
        <v>46</v>
      </c>
      <c r="E21" s="2" t="s">
        <v>1168</v>
      </c>
    </row>
    <row r="22" customFormat="false" ht="15" hidden="false" customHeight="false" outlineLevel="0" collapsed="false">
      <c r="A22" s="2" t="n">
        <v>21</v>
      </c>
      <c r="B22" s="2" t="s">
        <v>9</v>
      </c>
      <c r="C22" s="2" t="s">
        <v>1151</v>
      </c>
      <c r="D22" s="2" t="s">
        <v>48</v>
      </c>
      <c r="E22" s="2" t="s">
        <v>1168</v>
      </c>
    </row>
    <row r="23" customFormat="false" ht="15" hidden="false" customHeight="false" outlineLevel="0" collapsed="false">
      <c r="A23" s="2" t="n">
        <v>22</v>
      </c>
      <c r="B23" s="2" t="s">
        <v>9</v>
      </c>
      <c r="C23" s="2" t="s">
        <v>1151</v>
      </c>
      <c r="D23" s="2" t="s">
        <v>49</v>
      </c>
      <c r="E23" s="2" t="s">
        <v>1169</v>
      </c>
    </row>
    <row r="24" customFormat="false" ht="15" hidden="false" customHeight="false" outlineLevel="0" collapsed="false">
      <c r="A24" s="2" t="n">
        <v>23</v>
      </c>
      <c r="B24" s="2" t="s">
        <v>9</v>
      </c>
      <c r="C24" s="2" t="s">
        <v>1151</v>
      </c>
      <c r="D24" s="2" t="s">
        <v>51</v>
      </c>
      <c r="E24" s="2" t="s">
        <v>1169</v>
      </c>
    </row>
    <row r="25" customFormat="false" ht="15" hidden="false" customHeight="false" outlineLevel="0" collapsed="false">
      <c r="A25" s="2" t="n">
        <v>24</v>
      </c>
      <c r="B25" s="2" t="s">
        <v>9</v>
      </c>
      <c r="C25" s="2" t="s">
        <v>1151</v>
      </c>
      <c r="D25" s="2" t="s">
        <v>52</v>
      </c>
      <c r="E25" s="2" t="s">
        <v>1169</v>
      </c>
    </row>
    <row r="26" customFormat="false" ht="15" hidden="false" customHeight="false" outlineLevel="0" collapsed="false">
      <c r="A26" s="2" t="n">
        <v>25</v>
      </c>
      <c r="B26" s="2" t="s">
        <v>9</v>
      </c>
      <c r="C26" s="2" t="s">
        <v>1151</v>
      </c>
      <c r="D26" s="2" t="s">
        <v>53</v>
      </c>
      <c r="E26" s="2" t="s">
        <v>1170</v>
      </c>
    </row>
    <row r="27" customFormat="false" ht="15" hidden="false" customHeight="false" outlineLevel="0" collapsed="false">
      <c r="A27" s="2" t="n">
        <v>26</v>
      </c>
      <c r="B27" s="2" t="s">
        <v>9</v>
      </c>
      <c r="C27" s="2" t="s">
        <v>1151</v>
      </c>
      <c r="D27" s="2" t="s">
        <v>55</v>
      </c>
      <c r="E27" s="2" t="s">
        <v>1171</v>
      </c>
    </row>
    <row r="28" customFormat="false" ht="15" hidden="false" customHeight="false" outlineLevel="0" collapsed="false">
      <c r="A28" s="2" t="n">
        <v>27</v>
      </c>
      <c r="B28" s="2" t="s">
        <v>9</v>
      </c>
      <c r="C28" s="2" t="s">
        <v>1151</v>
      </c>
      <c r="D28" s="2" t="s">
        <v>57</v>
      </c>
      <c r="E28" s="2" t="s">
        <v>1171</v>
      </c>
    </row>
    <row r="29" customFormat="false" ht="15" hidden="false" customHeight="false" outlineLevel="0" collapsed="false">
      <c r="A29" s="2" t="n">
        <v>28</v>
      </c>
      <c r="B29" s="2" t="s">
        <v>9</v>
      </c>
      <c r="C29" s="2" t="s">
        <v>1151</v>
      </c>
      <c r="D29" s="2" t="s">
        <v>58</v>
      </c>
      <c r="E29" s="2" t="s">
        <v>1172</v>
      </c>
    </row>
    <row r="30" customFormat="false" ht="15" hidden="false" customHeight="false" outlineLevel="0" collapsed="false">
      <c r="A30" s="2" t="n">
        <v>29</v>
      </c>
      <c r="B30" s="2" t="s">
        <v>9</v>
      </c>
      <c r="C30" s="2" t="s">
        <v>1151</v>
      </c>
      <c r="D30" s="2" t="s">
        <v>60</v>
      </c>
      <c r="E30" s="2" t="s">
        <v>1172</v>
      </c>
    </row>
    <row r="31" customFormat="false" ht="15" hidden="false" customHeight="false" outlineLevel="0" collapsed="false">
      <c r="A31" s="2" t="n">
        <v>30</v>
      </c>
      <c r="B31" s="2" t="s">
        <v>9</v>
      </c>
      <c r="C31" s="2" t="s">
        <v>1151</v>
      </c>
      <c r="D31" s="2" t="s">
        <v>61</v>
      </c>
      <c r="E31" s="2" t="s">
        <v>1172</v>
      </c>
    </row>
    <row r="32" customFormat="false" ht="15" hidden="false" customHeight="false" outlineLevel="0" collapsed="false">
      <c r="A32" s="2" t="n">
        <v>31</v>
      </c>
      <c r="B32" s="2" t="s">
        <v>9</v>
      </c>
      <c r="C32" s="2" t="s">
        <v>1151</v>
      </c>
      <c r="D32" s="2" t="s">
        <v>62</v>
      </c>
      <c r="E32" s="2" t="s">
        <v>1172</v>
      </c>
    </row>
    <row r="33" customFormat="false" ht="15" hidden="false" customHeight="false" outlineLevel="0" collapsed="false">
      <c r="A33" s="2" t="n">
        <v>32</v>
      </c>
      <c r="B33" s="2" t="s">
        <v>9</v>
      </c>
      <c r="C33" s="2" t="s">
        <v>1173</v>
      </c>
      <c r="D33" s="2" t="s">
        <v>63</v>
      </c>
      <c r="E33" s="2" t="s">
        <v>1174</v>
      </c>
    </row>
    <row r="34" customFormat="false" ht="15" hidden="false" customHeight="false" outlineLevel="0" collapsed="false">
      <c r="A34" s="2" t="n">
        <v>33</v>
      </c>
      <c r="B34" s="2" t="s">
        <v>9</v>
      </c>
      <c r="C34" s="2" t="s">
        <v>1173</v>
      </c>
      <c r="D34" s="2" t="s">
        <v>65</v>
      </c>
      <c r="E34" s="2" t="s">
        <v>1175</v>
      </c>
    </row>
    <row r="35" customFormat="false" ht="15" hidden="false" customHeight="false" outlineLevel="0" collapsed="false">
      <c r="A35" s="2" t="n">
        <v>34</v>
      </c>
      <c r="B35" s="2" t="s">
        <v>9</v>
      </c>
      <c r="C35" s="2" t="s">
        <v>1153</v>
      </c>
      <c r="D35" s="2" t="s">
        <v>67</v>
      </c>
      <c r="E35" s="2" t="s">
        <v>1176</v>
      </c>
    </row>
    <row r="36" customFormat="false" ht="15" hidden="false" customHeight="false" outlineLevel="0" collapsed="false">
      <c r="A36" s="2" t="n">
        <v>35</v>
      </c>
      <c r="B36" s="2" t="s">
        <v>9</v>
      </c>
      <c r="C36" s="2" t="s">
        <v>1151</v>
      </c>
      <c r="D36" s="2" t="s">
        <v>71</v>
      </c>
      <c r="E36" s="2" t="s">
        <v>1177</v>
      </c>
    </row>
    <row r="37" customFormat="false" ht="15" hidden="false" customHeight="false" outlineLevel="0" collapsed="false">
      <c r="A37" s="2" t="n">
        <v>36</v>
      </c>
      <c r="B37" s="2" t="s">
        <v>9</v>
      </c>
      <c r="C37" s="2" t="s">
        <v>1151</v>
      </c>
      <c r="D37" s="2" t="s">
        <v>74</v>
      </c>
      <c r="E37" s="2" t="s">
        <v>1178</v>
      </c>
    </row>
    <row r="38" customFormat="false" ht="15" hidden="false" customHeight="false" outlineLevel="0" collapsed="false">
      <c r="A38" s="2" t="n">
        <v>37</v>
      </c>
      <c r="B38" s="2" t="s">
        <v>9</v>
      </c>
      <c r="C38" s="2" t="s">
        <v>1153</v>
      </c>
      <c r="D38" s="2" t="s">
        <v>77</v>
      </c>
      <c r="E38" s="2" t="s">
        <v>1179</v>
      </c>
    </row>
    <row r="39" customFormat="false" ht="15" hidden="false" customHeight="false" outlineLevel="0" collapsed="false">
      <c r="A39" s="2" t="n">
        <v>38</v>
      </c>
      <c r="B39" s="2" t="s">
        <v>9</v>
      </c>
      <c r="C39" s="2" t="s">
        <v>1151</v>
      </c>
      <c r="D39" s="2" t="s">
        <v>80</v>
      </c>
      <c r="E39" s="2" t="s">
        <v>1180</v>
      </c>
    </row>
    <row r="40" customFormat="false" ht="15" hidden="false" customHeight="false" outlineLevel="0" collapsed="false">
      <c r="A40" s="2" t="n">
        <v>39</v>
      </c>
      <c r="B40" s="2" t="s">
        <v>9</v>
      </c>
      <c r="C40" s="2" t="s">
        <v>1153</v>
      </c>
      <c r="D40" s="2" t="s">
        <v>83</v>
      </c>
      <c r="E40" s="2" t="s">
        <v>1181</v>
      </c>
    </row>
    <row r="41" customFormat="false" ht="15" hidden="false" customHeight="false" outlineLevel="0" collapsed="false">
      <c r="A41" s="2" t="n">
        <v>40</v>
      </c>
      <c r="B41" s="2" t="s">
        <v>9</v>
      </c>
      <c r="C41" s="2" t="s">
        <v>1151</v>
      </c>
      <c r="D41" s="2" t="s">
        <v>86</v>
      </c>
      <c r="E41" s="2" t="s">
        <v>1182</v>
      </c>
    </row>
    <row r="42" customFormat="false" ht="15" hidden="false" customHeight="false" outlineLevel="0" collapsed="false">
      <c r="A42" s="2" t="n">
        <v>41</v>
      </c>
      <c r="B42" s="2" t="s">
        <v>9</v>
      </c>
      <c r="C42" s="2" t="s">
        <v>1151</v>
      </c>
      <c r="D42" s="2" t="s">
        <v>88</v>
      </c>
      <c r="E42" s="2" t="s">
        <v>1183</v>
      </c>
    </row>
    <row r="43" customFormat="false" ht="15" hidden="false" customHeight="false" outlineLevel="0" collapsed="false">
      <c r="A43" s="2" t="n">
        <v>42</v>
      </c>
      <c r="B43" s="2" t="s">
        <v>9</v>
      </c>
      <c r="C43" s="2" t="s">
        <v>1151</v>
      </c>
      <c r="D43" s="2" t="s">
        <v>91</v>
      </c>
      <c r="E43" s="2" t="s">
        <v>1184</v>
      </c>
    </row>
    <row r="44" customFormat="false" ht="15" hidden="false" customHeight="false" outlineLevel="0" collapsed="false">
      <c r="A44" s="2" t="n">
        <v>43</v>
      </c>
      <c r="B44" s="2" t="s">
        <v>9</v>
      </c>
      <c r="C44" s="2" t="s">
        <v>1151</v>
      </c>
      <c r="D44" s="2" t="s">
        <v>93</v>
      </c>
      <c r="E44" s="2" t="s">
        <v>1185</v>
      </c>
    </row>
    <row r="45" customFormat="false" ht="15" hidden="false" customHeight="false" outlineLevel="0" collapsed="false">
      <c r="A45" s="2" t="n">
        <v>44</v>
      </c>
      <c r="B45" s="2" t="s">
        <v>9</v>
      </c>
      <c r="C45" s="2" t="s">
        <v>1151</v>
      </c>
      <c r="D45" s="2" t="s">
        <v>95</v>
      </c>
      <c r="E45" s="2" t="s">
        <v>1186</v>
      </c>
    </row>
    <row r="46" customFormat="false" ht="15" hidden="false" customHeight="false" outlineLevel="0" collapsed="false">
      <c r="A46" s="2" t="n">
        <v>45</v>
      </c>
      <c r="B46" s="2" t="s">
        <v>9</v>
      </c>
      <c r="C46" s="2" t="s">
        <v>1151</v>
      </c>
      <c r="D46" s="2" t="s">
        <v>98</v>
      </c>
      <c r="E46" s="2" t="s">
        <v>1187</v>
      </c>
    </row>
    <row r="47" customFormat="false" ht="15" hidden="false" customHeight="false" outlineLevel="0" collapsed="false">
      <c r="A47" s="2" t="n">
        <v>46</v>
      </c>
      <c r="B47" s="2" t="s">
        <v>9</v>
      </c>
      <c r="C47" s="2" t="s">
        <v>1173</v>
      </c>
      <c r="D47" s="2" t="s">
        <v>101</v>
      </c>
      <c r="E47" s="2" t="s">
        <v>1188</v>
      </c>
    </row>
    <row r="48" customFormat="false" ht="15" hidden="false" customHeight="false" outlineLevel="0" collapsed="false">
      <c r="A48" s="2" t="n">
        <v>47</v>
      </c>
      <c r="B48" s="2" t="s">
        <v>9</v>
      </c>
      <c r="C48" s="2" t="s">
        <v>1151</v>
      </c>
      <c r="D48" s="2" t="s">
        <v>103</v>
      </c>
      <c r="E48" s="2" t="s">
        <v>1189</v>
      </c>
    </row>
    <row r="49" customFormat="false" ht="15" hidden="false" customHeight="false" outlineLevel="0" collapsed="false">
      <c r="A49" s="2" t="n">
        <v>48</v>
      </c>
      <c r="B49" s="2" t="s">
        <v>9</v>
      </c>
      <c r="C49" s="2" t="s">
        <v>1151</v>
      </c>
      <c r="D49" s="2" t="s">
        <v>105</v>
      </c>
      <c r="E49" s="2" t="s">
        <v>1190</v>
      </c>
    </row>
    <row r="50" customFormat="false" ht="15" hidden="false" customHeight="false" outlineLevel="0" collapsed="false">
      <c r="A50" s="2" t="n">
        <v>49</v>
      </c>
      <c r="B50" s="2" t="s">
        <v>9</v>
      </c>
      <c r="C50" s="2" t="s">
        <v>1151</v>
      </c>
      <c r="D50" s="2" t="s">
        <v>108</v>
      </c>
      <c r="E50" s="2" t="s">
        <v>1191</v>
      </c>
    </row>
    <row r="51" customFormat="false" ht="15" hidden="false" customHeight="false" outlineLevel="0" collapsed="false">
      <c r="A51" s="2" t="n">
        <v>50</v>
      </c>
      <c r="B51" s="2" t="s">
        <v>9</v>
      </c>
      <c r="C51" s="2" t="s">
        <v>1151</v>
      </c>
      <c r="D51" s="2" t="s">
        <v>111</v>
      </c>
      <c r="E51" s="2" t="s">
        <v>1192</v>
      </c>
    </row>
    <row r="52" customFormat="false" ht="15" hidden="false" customHeight="false" outlineLevel="0" collapsed="false">
      <c r="A52" s="2" t="n">
        <v>51</v>
      </c>
      <c r="B52" s="2" t="s">
        <v>9</v>
      </c>
      <c r="C52" s="2" t="s">
        <v>1151</v>
      </c>
      <c r="D52" s="2" t="s">
        <v>114</v>
      </c>
      <c r="E52" s="2" t="s">
        <v>1193</v>
      </c>
    </row>
    <row r="53" customFormat="false" ht="15" hidden="false" customHeight="false" outlineLevel="0" collapsed="false">
      <c r="A53" s="2" t="n">
        <v>52</v>
      </c>
      <c r="B53" s="2" t="s">
        <v>9</v>
      </c>
      <c r="C53" s="2" t="s">
        <v>1151</v>
      </c>
      <c r="D53" s="2" t="s">
        <v>117</v>
      </c>
      <c r="E53" s="2" t="s">
        <v>1194</v>
      </c>
    </row>
    <row r="54" customFormat="false" ht="15" hidden="false" customHeight="false" outlineLevel="0" collapsed="false">
      <c r="A54" s="2" t="n">
        <v>53</v>
      </c>
      <c r="B54" s="2" t="s">
        <v>9</v>
      </c>
      <c r="C54" s="2" t="s">
        <v>1151</v>
      </c>
      <c r="D54" s="2" t="s">
        <v>119</v>
      </c>
      <c r="E54" s="2" t="s">
        <v>1195</v>
      </c>
    </row>
    <row r="55" customFormat="false" ht="15" hidden="false" customHeight="false" outlineLevel="0" collapsed="false">
      <c r="A55" s="2" t="n">
        <v>54</v>
      </c>
      <c r="B55" s="2" t="s">
        <v>9</v>
      </c>
      <c r="C55" s="2" t="s">
        <v>1151</v>
      </c>
      <c r="D55" s="2" t="s">
        <v>122</v>
      </c>
      <c r="E55" s="2" t="s">
        <v>1165</v>
      </c>
    </row>
    <row r="56" customFormat="false" ht="15" hidden="false" customHeight="false" outlineLevel="0" collapsed="false">
      <c r="A56" s="2" t="n">
        <v>55</v>
      </c>
      <c r="B56" s="2" t="s">
        <v>9</v>
      </c>
      <c r="C56" s="2" t="s">
        <v>1151</v>
      </c>
      <c r="D56" s="2" t="s">
        <v>125</v>
      </c>
      <c r="E56" s="2" t="s">
        <v>1167</v>
      </c>
    </row>
    <row r="57" customFormat="false" ht="15" hidden="false" customHeight="false" outlineLevel="0" collapsed="false">
      <c r="A57" s="2" t="n">
        <v>56</v>
      </c>
      <c r="B57" s="2" t="s">
        <v>9</v>
      </c>
      <c r="C57" s="2" t="s">
        <v>1151</v>
      </c>
      <c r="D57" s="2" t="s">
        <v>128</v>
      </c>
      <c r="E57" s="2" t="s">
        <v>1170</v>
      </c>
    </row>
    <row r="58" customFormat="false" ht="15" hidden="false" customHeight="false" outlineLevel="0" collapsed="false">
      <c r="A58" s="2" t="n">
        <v>57</v>
      </c>
      <c r="B58" s="2" t="s">
        <v>9</v>
      </c>
      <c r="C58" s="2" t="s">
        <v>1151</v>
      </c>
      <c r="D58" s="2" t="s">
        <v>131</v>
      </c>
      <c r="E58" s="2" t="s">
        <v>1196</v>
      </c>
    </row>
    <row r="59" customFormat="false" ht="15" hidden="false" customHeight="false" outlineLevel="0" collapsed="false">
      <c r="A59" s="2" t="n">
        <v>58</v>
      </c>
      <c r="B59" s="2" t="s">
        <v>9</v>
      </c>
      <c r="C59" s="2" t="s">
        <v>1151</v>
      </c>
      <c r="D59" s="2" t="s">
        <v>134</v>
      </c>
      <c r="E59" s="2" t="s">
        <v>1169</v>
      </c>
    </row>
    <row r="60" customFormat="false" ht="15" hidden="false" customHeight="false" outlineLevel="0" collapsed="false">
      <c r="A60" s="2" t="n">
        <v>59</v>
      </c>
      <c r="B60" s="2" t="s">
        <v>9</v>
      </c>
      <c r="C60" s="2" t="s">
        <v>1151</v>
      </c>
      <c r="D60" s="2" t="s">
        <v>136</v>
      </c>
      <c r="E60" s="2" t="s">
        <v>1168</v>
      </c>
    </row>
    <row r="61" customFormat="false" ht="15" hidden="false" customHeight="false" outlineLevel="0" collapsed="false">
      <c r="A61" s="2" t="n">
        <v>60</v>
      </c>
      <c r="B61" s="2" t="s">
        <v>9</v>
      </c>
      <c r="C61" s="2" t="s">
        <v>1151</v>
      </c>
      <c r="D61" s="2" t="s">
        <v>139</v>
      </c>
      <c r="E61" s="2" t="s">
        <v>1171</v>
      </c>
    </row>
    <row r="62" customFormat="false" ht="15" hidden="false" customHeight="false" outlineLevel="0" collapsed="false">
      <c r="A62" s="2" t="n">
        <v>61</v>
      </c>
      <c r="B62" s="2" t="s">
        <v>9</v>
      </c>
      <c r="C62" s="2" t="s">
        <v>1151</v>
      </c>
      <c r="D62" s="2" t="s">
        <v>142</v>
      </c>
      <c r="E62" s="2" t="s">
        <v>1172</v>
      </c>
    </row>
    <row r="63" customFormat="false" ht="15" hidden="false" customHeight="false" outlineLevel="0" collapsed="false">
      <c r="A63" s="2" t="n">
        <v>62</v>
      </c>
      <c r="B63" s="2" t="s">
        <v>9</v>
      </c>
      <c r="C63" s="2" t="s">
        <v>1151</v>
      </c>
      <c r="D63" s="2" t="s">
        <v>145</v>
      </c>
      <c r="E63" s="2" t="s">
        <v>1197</v>
      </c>
    </row>
    <row r="64" customFormat="false" ht="15" hidden="false" customHeight="false" outlineLevel="0" collapsed="false">
      <c r="A64" s="2" t="n">
        <v>63</v>
      </c>
      <c r="B64" s="2" t="s">
        <v>9</v>
      </c>
      <c r="C64" s="2" t="s">
        <v>1151</v>
      </c>
      <c r="D64" s="2" t="s">
        <v>148</v>
      </c>
      <c r="E64" s="2" t="s">
        <v>1198</v>
      </c>
    </row>
    <row r="65" customFormat="false" ht="15" hidden="false" customHeight="false" outlineLevel="0" collapsed="false">
      <c r="A65" s="2" t="n">
        <v>64</v>
      </c>
      <c r="B65" s="2" t="s">
        <v>151</v>
      </c>
      <c r="C65" s="2" t="s">
        <v>1151</v>
      </c>
      <c r="D65" s="2" t="s">
        <v>6</v>
      </c>
      <c r="E65" s="2" t="s">
        <v>1199</v>
      </c>
    </row>
    <row r="66" customFormat="false" ht="15" hidden="false" customHeight="false" outlineLevel="0" collapsed="false">
      <c r="A66" s="2" t="n">
        <v>65</v>
      </c>
      <c r="B66" s="2" t="s">
        <v>151</v>
      </c>
      <c r="C66" s="2" t="s">
        <v>1153</v>
      </c>
      <c r="D66" s="2" t="s">
        <v>12</v>
      </c>
      <c r="E66" s="2" t="s">
        <v>1200</v>
      </c>
    </row>
    <row r="67" customFormat="false" ht="15" hidden="false" customHeight="false" outlineLevel="0" collapsed="false">
      <c r="A67" s="2" t="n">
        <v>66</v>
      </c>
      <c r="B67" s="2" t="s">
        <v>151</v>
      </c>
      <c r="C67" s="2" t="s">
        <v>1151</v>
      </c>
      <c r="D67" s="2" t="s">
        <v>153</v>
      </c>
      <c r="E67" s="2" t="s">
        <v>1201</v>
      </c>
    </row>
    <row r="68" customFormat="false" ht="15" hidden="false" customHeight="false" outlineLevel="0" collapsed="false">
      <c r="A68" s="2" t="n">
        <v>67</v>
      </c>
      <c r="B68" s="2" t="s">
        <v>151</v>
      </c>
      <c r="C68" s="2" t="s">
        <v>1153</v>
      </c>
      <c r="D68" s="2" t="s">
        <v>156</v>
      </c>
      <c r="E68" s="2" t="s">
        <v>1202</v>
      </c>
    </row>
    <row r="69" customFormat="false" ht="15" hidden="false" customHeight="false" outlineLevel="0" collapsed="false">
      <c r="A69" s="2" t="n">
        <v>68</v>
      </c>
      <c r="B69" s="2" t="s">
        <v>151</v>
      </c>
      <c r="C69" s="2" t="s">
        <v>1153</v>
      </c>
      <c r="D69" s="2" t="s">
        <v>159</v>
      </c>
      <c r="E69" s="2" t="s">
        <v>1202</v>
      </c>
    </row>
    <row r="70" customFormat="false" ht="15" hidden="false" customHeight="false" outlineLevel="0" collapsed="false">
      <c r="A70" s="2" t="n">
        <v>69</v>
      </c>
      <c r="B70" s="2" t="s">
        <v>151</v>
      </c>
      <c r="C70" s="2" t="s">
        <v>1151</v>
      </c>
      <c r="D70" s="2" t="s">
        <v>16</v>
      </c>
      <c r="E70" s="2" t="s">
        <v>1203</v>
      </c>
    </row>
    <row r="71" customFormat="false" ht="15" hidden="false" customHeight="false" outlineLevel="0" collapsed="false">
      <c r="A71" s="2" t="n">
        <v>70</v>
      </c>
      <c r="B71" s="2" t="s">
        <v>151</v>
      </c>
      <c r="C71" s="2" t="s">
        <v>1153</v>
      </c>
      <c r="D71" s="2" t="s">
        <v>14</v>
      </c>
      <c r="E71" s="2" t="s">
        <v>1204</v>
      </c>
    </row>
    <row r="72" customFormat="false" ht="15" hidden="false" customHeight="false" outlineLevel="0" collapsed="false">
      <c r="A72" s="2" t="n">
        <v>71</v>
      </c>
      <c r="B72" s="2" t="s">
        <v>151</v>
      </c>
      <c r="C72" s="2" t="s">
        <v>1151</v>
      </c>
      <c r="D72" s="2" t="s">
        <v>18</v>
      </c>
      <c r="E72" s="2" t="s">
        <v>1205</v>
      </c>
    </row>
    <row r="73" customFormat="false" ht="15" hidden="false" customHeight="false" outlineLevel="0" collapsed="false">
      <c r="A73" s="2" t="n">
        <v>72</v>
      </c>
      <c r="B73" s="2" t="s">
        <v>151</v>
      </c>
      <c r="C73" s="2" t="s">
        <v>1151</v>
      </c>
      <c r="D73" s="2" t="s">
        <v>20</v>
      </c>
      <c r="E73" s="2" t="s">
        <v>1205</v>
      </c>
    </row>
    <row r="74" customFormat="false" ht="15" hidden="false" customHeight="false" outlineLevel="0" collapsed="false">
      <c r="A74" s="2" t="n">
        <v>73</v>
      </c>
      <c r="B74" s="2" t="s">
        <v>151</v>
      </c>
      <c r="C74" s="2" t="s">
        <v>1151</v>
      </c>
      <c r="D74" s="2" t="s">
        <v>24</v>
      </c>
      <c r="E74" s="2" t="s">
        <v>1206</v>
      </c>
    </row>
    <row r="75" customFormat="false" ht="15" hidden="false" customHeight="false" outlineLevel="0" collapsed="false">
      <c r="A75" s="2" t="n">
        <v>74</v>
      </c>
      <c r="B75" s="2" t="s">
        <v>151</v>
      </c>
      <c r="C75" s="2" t="s">
        <v>1151</v>
      </c>
      <c r="D75" s="2" t="s">
        <v>26</v>
      </c>
      <c r="E75" s="2" t="s">
        <v>1207</v>
      </c>
    </row>
    <row r="76" customFormat="false" ht="15" hidden="false" customHeight="false" outlineLevel="0" collapsed="false">
      <c r="A76" s="2" t="n">
        <v>75</v>
      </c>
      <c r="B76" s="2" t="s">
        <v>151</v>
      </c>
      <c r="C76" s="2" t="s">
        <v>1151</v>
      </c>
      <c r="D76" s="2" t="s">
        <v>22</v>
      </c>
      <c r="E76" s="2" t="s">
        <v>1208</v>
      </c>
    </row>
    <row r="77" customFormat="false" ht="15" hidden="false" customHeight="false" outlineLevel="0" collapsed="false">
      <c r="A77" s="2" t="n">
        <v>76</v>
      </c>
      <c r="B77" s="2" t="s">
        <v>151</v>
      </c>
      <c r="C77" s="2" t="s">
        <v>1151</v>
      </c>
      <c r="D77" s="2" t="s">
        <v>27</v>
      </c>
      <c r="E77" s="2" t="s">
        <v>1209</v>
      </c>
    </row>
    <row r="78" customFormat="false" ht="15" hidden="false" customHeight="false" outlineLevel="0" collapsed="false">
      <c r="A78" s="2" t="n">
        <v>77</v>
      </c>
      <c r="B78" s="2" t="s">
        <v>151</v>
      </c>
      <c r="C78" s="2" t="s">
        <v>1151</v>
      </c>
      <c r="D78" s="2" t="s">
        <v>53</v>
      </c>
      <c r="E78" s="2" t="s">
        <v>1210</v>
      </c>
    </row>
    <row r="79" customFormat="false" ht="15" hidden="false" customHeight="false" outlineLevel="0" collapsed="false">
      <c r="A79" s="2" t="n">
        <v>78</v>
      </c>
      <c r="B79" s="2" t="s">
        <v>151</v>
      </c>
      <c r="C79" s="2" t="s">
        <v>1151</v>
      </c>
      <c r="D79" s="2" t="s">
        <v>40</v>
      </c>
      <c r="E79" s="2" t="s">
        <v>1210</v>
      </c>
    </row>
    <row r="80" customFormat="false" ht="15" hidden="false" customHeight="false" outlineLevel="0" collapsed="false">
      <c r="A80" s="2" t="n">
        <v>79</v>
      </c>
      <c r="B80" s="2" t="s">
        <v>151</v>
      </c>
      <c r="C80" s="2" t="s">
        <v>1151</v>
      </c>
      <c r="D80" s="2" t="s">
        <v>36</v>
      </c>
      <c r="E80" s="2" t="s">
        <v>1211</v>
      </c>
    </row>
    <row r="81" customFormat="false" ht="15" hidden="false" customHeight="false" outlineLevel="0" collapsed="false">
      <c r="A81" s="2" t="n">
        <v>80</v>
      </c>
      <c r="B81" s="2" t="s">
        <v>151</v>
      </c>
      <c r="C81" s="2" t="s">
        <v>1153</v>
      </c>
      <c r="D81" s="2" t="s">
        <v>172</v>
      </c>
      <c r="E81" s="2" t="s">
        <v>1212</v>
      </c>
    </row>
    <row r="82" customFormat="false" ht="15" hidden="false" customHeight="false" outlineLevel="0" collapsed="false">
      <c r="A82" s="2" t="n">
        <v>81</v>
      </c>
      <c r="B82" s="2" t="s">
        <v>151</v>
      </c>
      <c r="C82" s="2" t="s">
        <v>1151</v>
      </c>
      <c r="D82" s="2" t="s">
        <v>174</v>
      </c>
      <c r="E82" s="2" t="s">
        <v>1213</v>
      </c>
    </row>
    <row r="83" customFormat="false" ht="15" hidden="false" customHeight="false" outlineLevel="0" collapsed="false">
      <c r="A83" s="2" t="n">
        <v>82</v>
      </c>
      <c r="B83" s="2" t="s">
        <v>151</v>
      </c>
      <c r="C83" s="2" t="s">
        <v>1153</v>
      </c>
      <c r="D83" s="2" t="s">
        <v>176</v>
      </c>
      <c r="E83" s="2" t="s">
        <v>1214</v>
      </c>
    </row>
    <row r="84" customFormat="false" ht="15" hidden="false" customHeight="false" outlineLevel="0" collapsed="false">
      <c r="A84" s="2" t="n">
        <v>83</v>
      </c>
      <c r="B84" s="2" t="s">
        <v>151</v>
      </c>
      <c r="C84" s="2" t="s">
        <v>1153</v>
      </c>
      <c r="D84" s="2" t="s">
        <v>177</v>
      </c>
      <c r="E84" s="2" t="s">
        <v>1214</v>
      </c>
    </row>
    <row r="85" customFormat="false" ht="15" hidden="false" customHeight="false" outlineLevel="0" collapsed="false">
      <c r="A85" s="2" t="n">
        <v>84</v>
      </c>
      <c r="B85" s="2" t="s">
        <v>151</v>
      </c>
      <c r="C85" s="2" t="s">
        <v>1151</v>
      </c>
      <c r="D85" s="2" t="s">
        <v>178</v>
      </c>
      <c r="E85" s="2" t="s">
        <v>1215</v>
      </c>
    </row>
    <row r="86" customFormat="false" ht="15" hidden="false" customHeight="false" outlineLevel="0" collapsed="false">
      <c r="A86" s="2" t="n">
        <v>85</v>
      </c>
      <c r="B86" s="2" t="s">
        <v>151</v>
      </c>
      <c r="C86" s="2" t="s">
        <v>1151</v>
      </c>
      <c r="D86" s="2" t="s">
        <v>180</v>
      </c>
      <c r="E86" s="2" t="s">
        <v>1216</v>
      </c>
    </row>
    <row r="87" customFormat="false" ht="15" hidden="false" customHeight="false" outlineLevel="0" collapsed="false">
      <c r="A87" s="2" t="n">
        <v>86</v>
      </c>
      <c r="B87" s="2" t="s">
        <v>151</v>
      </c>
      <c r="C87" s="2" t="s">
        <v>1153</v>
      </c>
      <c r="D87" s="2" t="s">
        <v>181</v>
      </c>
      <c r="E87" s="2" t="s">
        <v>1217</v>
      </c>
    </row>
    <row r="88" customFormat="false" ht="15" hidden="false" customHeight="false" outlineLevel="0" collapsed="false">
      <c r="A88" s="2" t="n">
        <v>87</v>
      </c>
      <c r="B88" s="2" t="s">
        <v>151</v>
      </c>
      <c r="C88" s="2" t="s">
        <v>1151</v>
      </c>
      <c r="D88" s="2" t="s">
        <v>183</v>
      </c>
      <c r="E88" s="2" t="s">
        <v>1218</v>
      </c>
    </row>
    <row r="89" customFormat="false" ht="15" hidden="false" customHeight="false" outlineLevel="0" collapsed="false">
      <c r="A89" s="2" t="n">
        <v>88</v>
      </c>
      <c r="B89" s="2" t="s">
        <v>151</v>
      </c>
      <c r="C89" s="2" t="s">
        <v>1151</v>
      </c>
      <c r="D89" s="2" t="s">
        <v>184</v>
      </c>
      <c r="E89" s="2" t="s">
        <v>1219</v>
      </c>
    </row>
    <row r="90" customFormat="false" ht="15" hidden="false" customHeight="false" outlineLevel="0" collapsed="false">
      <c r="A90" s="2" t="n">
        <v>89</v>
      </c>
      <c r="B90" s="2" t="s">
        <v>151</v>
      </c>
      <c r="C90" s="2" t="s">
        <v>1153</v>
      </c>
      <c r="D90" s="2" t="s">
        <v>186</v>
      </c>
      <c r="E90" s="2" t="s">
        <v>1220</v>
      </c>
    </row>
    <row r="91" customFormat="false" ht="15" hidden="false" customHeight="false" outlineLevel="0" collapsed="false">
      <c r="A91" s="2" t="n">
        <v>90</v>
      </c>
      <c r="B91" s="2" t="s">
        <v>151</v>
      </c>
      <c r="C91" s="2" t="s">
        <v>1153</v>
      </c>
      <c r="D91" s="2" t="s">
        <v>187</v>
      </c>
      <c r="E91" s="2" t="s">
        <v>1221</v>
      </c>
    </row>
    <row r="92" customFormat="false" ht="15" hidden="false" customHeight="false" outlineLevel="0" collapsed="false">
      <c r="A92" s="2" t="n">
        <v>91</v>
      </c>
      <c r="B92" s="2" t="s">
        <v>151</v>
      </c>
      <c r="C92" s="2" t="s">
        <v>1173</v>
      </c>
      <c r="D92" s="2" t="s">
        <v>189</v>
      </c>
      <c r="E92" s="2" t="s">
        <v>1222</v>
      </c>
    </row>
    <row r="93" customFormat="false" ht="15" hidden="false" customHeight="false" outlineLevel="0" collapsed="false">
      <c r="A93" s="2" t="n">
        <v>92</v>
      </c>
      <c r="B93" s="2" t="s">
        <v>151</v>
      </c>
      <c r="C93" s="2" t="s">
        <v>1173</v>
      </c>
      <c r="D93" s="2" t="s">
        <v>192</v>
      </c>
      <c r="E93" s="2" t="s">
        <v>1223</v>
      </c>
    </row>
    <row r="94" customFormat="false" ht="15" hidden="false" customHeight="false" outlineLevel="0" collapsed="false">
      <c r="A94" s="2" t="n">
        <v>93</v>
      </c>
      <c r="B94" s="2" t="s">
        <v>151</v>
      </c>
      <c r="C94" s="2" t="s">
        <v>1173</v>
      </c>
      <c r="D94" s="2" t="s">
        <v>195</v>
      </c>
      <c r="E94" s="2" t="s">
        <v>1224</v>
      </c>
    </row>
    <row r="95" customFormat="false" ht="15" hidden="false" customHeight="false" outlineLevel="0" collapsed="false">
      <c r="A95" s="2" t="n">
        <v>94</v>
      </c>
      <c r="B95" s="2" t="s">
        <v>151</v>
      </c>
      <c r="C95" s="2" t="s">
        <v>1151</v>
      </c>
      <c r="D95" s="2" t="s">
        <v>82</v>
      </c>
      <c r="E95" s="2" t="s">
        <v>1225</v>
      </c>
    </row>
    <row r="96" customFormat="false" ht="15" hidden="false" customHeight="false" outlineLevel="0" collapsed="false">
      <c r="A96" s="2" t="n">
        <v>95</v>
      </c>
      <c r="B96" s="2" t="s">
        <v>151</v>
      </c>
      <c r="C96" s="2" t="s">
        <v>1151</v>
      </c>
      <c r="D96" s="2" t="s">
        <v>198</v>
      </c>
      <c r="E96" s="2" t="s">
        <v>1226</v>
      </c>
    </row>
    <row r="97" customFormat="false" ht="15" hidden="false" customHeight="false" outlineLevel="0" collapsed="false">
      <c r="A97" s="2" t="n">
        <v>96</v>
      </c>
      <c r="B97" s="2" t="s">
        <v>151</v>
      </c>
      <c r="C97" s="2" t="s">
        <v>1151</v>
      </c>
      <c r="D97" s="2" t="s">
        <v>201</v>
      </c>
      <c r="E97" s="2" t="s">
        <v>1227</v>
      </c>
    </row>
    <row r="98" customFormat="false" ht="15" hidden="false" customHeight="false" outlineLevel="0" collapsed="false">
      <c r="A98" s="2" t="n">
        <v>97</v>
      </c>
      <c r="B98" s="2" t="s">
        <v>151</v>
      </c>
      <c r="C98" s="2" t="s">
        <v>1151</v>
      </c>
      <c r="D98" s="2" t="s">
        <v>204</v>
      </c>
      <c r="E98" s="2" t="s">
        <v>1228</v>
      </c>
    </row>
    <row r="99" customFormat="false" ht="15" hidden="false" customHeight="false" outlineLevel="0" collapsed="false">
      <c r="A99" s="2" t="n">
        <v>98</v>
      </c>
      <c r="B99" s="2" t="s">
        <v>151</v>
      </c>
      <c r="C99" s="2" t="s">
        <v>1151</v>
      </c>
      <c r="D99" s="2" t="s">
        <v>206</v>
      </c>
      <c r="E99" s="2" t="s">
        <v>1229</v>
      </c>
    </row>
    <row r="100" customFormat="false" ht="15" hidden="false" customHeight="false" outlineLevel="0" collapsed="false">
      <c r="A100" s="2" t="n">
        <v>99</v>
      </c>
      <c r="B100" s="2" t="s">
        <v>151</v>
      </c>
      <c r="C100" s="2" t="s">
        <v>1151</v>
      </c>
      <c r="D100" s="2" t="s">
        <v>209</v>
      </c>
      <c r="E100" s="2" t="s">
        <v>1230</v>
      </c>
    </row>
    <row r="101" customFormat="false" ht="15" hidden="false" customHeight="false" outlineLevel="0" collapsed="false">
      <c r="A101" s="2" t="n">
        <v>100</v>
      </c>
      <c r="B101" s="2" t="s">
        <v>151</v>
      </c>
      <c r="C101" s="2" t="s">
        <v>1151</v>
      </c>
      <c r="D101" s="2" t="s">
        <v>211</v>
      </c>
      <c r="E101" s="2" t="s">
        <v>1231</v>
      </c>
    </row>
    <row r="102" customFormat="false" ht="15" hidden="false" customHeight="false" outlineLevel="0" collapsed="false">
      <c r="A102" s="2" t="n">
        <v>101</v>
      </c>
      <c r="B102" s="2" t="s">
        <v>151</v>
      </c>
      <c r="C102" s="2" t="s">
        <v>1151</v>
      </c>
      <c r="D102" s="2" t="s">
        <v>86</v>
      </c>
      <c r="E102" s="2" t="s">
        <v>1232</v>
      </c>
    </row>
    <row r="103" customFormat="false" ht="15" hidden="false" customHeight="false" outlineLevel="0" collapsed="false">
      <c r="A103" s="2" t="n">
        <v>102</v>
      </c>
      <c r="B103" s="2" t="s">
        <v>151</v>
      </c>
      <c r="C103" s="2" t="s">
        <v>1151</v>
      </c>
      <c r="D103" s="2" t="s">
        <v>214</v>
      </c>
      <c r="E103" s="2" t="s">
        <v>1233</v>
      </c>
    </row>
    <row r="104" customFormat="false" ht="15" hidden="false" customHeight="false" outlineLevel="0" collapsed="false">
      <c r="A104" s="2" t="n">
        <v>103</v>
      </c>
      <c r="B104" s="2" t="s">
        <v>151</v>
      </c>
      <c r="C104" s="2" t="s">
        <v>1153</v>
      </c>
      <c r="D104" s="2" t="s">
        <v>216</v>
      </c>
      <c r="E104" s="2" t="s">
        <v>1234</v>
      </c>
    </row>
    <row r="105" customFormat="false" ht="15" hidden="false" customHeight="false" outlineLevel="0" collapsed="false">
      <c r="A105" s="2" t="n">
        <v>104</v>
      </c>
      <c r="B105" s="2" t="s">
        <v>151</v>
      </c>
      <c r="C105" s="2" t="s">
        <v>1153</v>
      </c>
      <c r="D105" s="2" t="s">
        <v>219</v>
      </c>
      <c r="E105" s="2" t="s">
        <v>1235</v>
      </c>
    </row>
    <row r="106" customFormat="false" ht="15" hidden="false" customHeight="false" outlineLevel="0" collapsed="false">
      <c r="A106" s="2" t="n">
        <v>105</v>
      </c>
      <c r="B106" s="2" t="s">
        <v>151</v>
      </c>
      <c r="C106" s="2" t="s">
        <v>1153</v>
      </c>
      <c r="D106" s="2" t="s">
        <v>222</v>
      </c>
      <c r="E106" s="2" t="s">
        <v>1236</v>
      </c>
    </row>
    <row r="107" customFormat="false" ht="15" hidden="false" customHeight="false" outlineLevel="0" collapsed="false">
      <c r="A107" s="2" t="n">
        <v>106</v>
      </c>
      <c r="B107" s="2" t="s">
        <v>151</v>
      </c>
      <c r="C107" s="2" t="s">
        <v>1151</v>
      </c>
      <c r="D107" s="2" t="s">
        <v>225</v>
      </c>
      <c r="E107" s="2" t="s">
        <v>1237</v>
      </c>
    </row>
    <row r="108" customFormat="false" ht="15" hidden="false" customHeight="false" outlineLevel="0" collapsed="false">
      <c r="A108" s="2" t="n">
        <v>107</v>
      </c>
      <c r="B108" s="2" t="s">
        <v>151</v>
      </c>
      <c r="C108" s="2" t="s">
        <v>1151</v>
      </c>
      <c r="D108" s="2" t="s">
        <v>227</v>
      </c>
      <c r="E108" s="2" t="s">
        <v>1238</v>
      </c>
    </row>
    <row r="109" customFormat="false" ht="15" hidden="false" customHeight="false" outlineLevel="0" collapsed="false">
      <c r="A109" s="2" t="n">
        <v>108</v>
      </c>
      <c r="B109" s="2" t="s">
        <v>151</v>
      </c>
      <c r="C109" s="2" t="s">
        <v>1151</v>
      </c>
      <c r="D109" s="2" t="s">
        <v>230</v>
      </c>
      <c r="E109" s="2" t="s">
        <v>1239</v>
      </c>
    </row>
    <row r="110" customFormat="false" ht="15" hidden="false" customHeight="false" outlineLevel="0" collapsed="false">
      <c r="A110" s="2" t="n">
        <v>109</v>
      </c>
      <c r="B110" s="2" t="s">
        <v>151</v>
      </c>
      <c r="C110" s="2" t="s">
        <v>1151</v>
      </c>
      <c r="D110" s="2" t="s">
        <v>233</v>
      </c>
      <c r="E110" s="2" t="s">
        <v>1240</v>
      </c>
    </row>
    <row r="111" customFormat="false" ht="15" hidden="false" customHeight="false" outlineLevel="0" collapsed="false">
      <c r="A111" s="2" t="n">
        <v>110</v>
      </c>
      <c r="B111" s="2" t="s">
        <v>151</v>
      </c>
      <c r="C111" s="2" t="s">
        <v>1151</v>
      </c>
      <c r="D111" s="2" t="s">
        <v>182</v>
      </c>
      <c r="E111" s="2" t="s">
        <v>1241</v>
      </c>
    </row>
    <row r="112" customFormat="false" ht="15" hidden="false" customHeight="false" outlineLevel="0" collapsed="false">
      <c r="A112" s="2" t="n">
        <v>111</v>
      </c>
      <c r="B112" s="2" t="s">
        <v>151</v>
      </c>
      <c r="C112" s="2" t="s">
        <v>1151</v>
      </c>
      <c r="D112" s="2" t="s">
        <v>185</v>
      </c>
      <c r="E112" s="2" t="s">
        <v>1242</v>
      </c>
    </row>
    <row r="113" customFormat="false" ht="15" hidden="false" customHeight="false" outlineLevel="0" collapsed="false">
      <c r="A113" s="2" t="n">
        <v>112</v>
      </c>
      <c r="B113" s="2" t="s">
        <v>151</v>
      </c>
      <c r="C113" s="2" t="s">
        <v>1173</v>
      </c>
      <c r="D113" s="2" t="s">
        <v>101</v>
      </c>
      <c r="E113" s="2" t="s">
        <v>1243</v>
      </c>
    </row>
    <row r="114" customFormat="false" ht="15" hidden="false" customHeight="false" outlineLevel="0" collapsed="false">
      <c r="A114" s="2" t="n">
        <v>113</v>
      </c>
      <c r="B114" s="2" t="s">
        <v>151</v>
      </c>
      <c r="C114" s="2" t="s">
        <v>1173</v>
      </c>
      <c r="D114" s="2" t="s">
        <v>240</v>
      </c>
      <c r="E114" s="2" t="s">
        <v>1244</v>
      </c>
    </row>
    <row r="115" customFormat="false" ht="15" hidden="false" customHeight="false" outlineLevel="0" collapsed="false">
      <c r="A115" s="2" t="n">
        <v>114</v>
      </c>
      <c r="B115" s="2" t="s">
        <v>151</v>
      </c>
      <c r="C115" s="2" t="s">
        <v>1173</v>
      </c>
      <c r="D115" s="2" t="s">
        <v>243</v>
      </c>
      <c r="E115" s="2" t="s">
        <v>1245</v>
      </c>
    </row>
    <row r="116" customFormat="false" ht="15" hidden="false" customHeight="false" outlineLevel="0" collapsed="false">
      <c r="A116" s="2" t="n">
        <v>115</v>
      </c>
      <c r="B116" s="2" t="s">
        <v>151</v>
      </c>
      <c r="C116" s="2" t="s">
        <v>1173</v>
      </c>
      <c r="D116" s="2" t="s">
        <v>246</v>
      </c>
      <c r="E116" s="2" t="s">
        <v>1245</v>
      </c>
    </row>
    <row r="117" customFormat="false" ht="15" hidden="false" customHeight="false" outlineLevel="0" collapsed="false">
      <c r="A117" s="2" t="n">
        <v>116</v>
      </c>
      <c r="B117" s="2" t="s">
        <v>151</v>
      </c>
      <c r="C117" s="2" t="s">
        <v>1173</v>
      </c>
      <c r="D117" s="2" t="s">
        <v>247</v>
      </c>
      <c r="E117" s="2" t="s">
        <v>1246</v>
      </c>
    </row>
    <row r="118" customFormat="false" ht="15" hidden="false" customHeight="false" outlineLevel="0" collapsed="false">
      <c r="A118" s="2" t="n">
        <v>117</v>
      </c>
      <c r="B118" s="2" t="s">
        <v>151</v>
      </c>
      <c r="C118" s="2" t="s">
        <v>1173</v>
      </c>
      <c r="D118" s="2" t="s">
        <v>249</v>
      </c>
      <c r="E118" s="2" t="s">
        <v>1247</v>
      </c>
    </row>
    <row r="119" customFormat="false" ht="15" hidden="false" customHeight="false" outlineLevel="0" collapsed="false">
      <c r="A119" s="2" t="n">
        <v>118</v>
      </c>
      <c r="B119" s="2" t="s">
        <v>151</v>
      </c>
      <c r="C119" s="2" t="s">
        <v>1173</v>
      </c>
      <c r="D119" s="2" t="s">
        <v>251</v>
      </c>
      <c r="E119" s="2" t="s">
        <v>1248</v>
      </c>
    </row>
    <row r="120" customFormat="false" ht="15" hidden="false" customHeight="false" outlineLevel="0" collapsed="false">
      <c r="A120" s="2" t="n">
        <v>119</v>
      </c>
      <c r="B120" s="2" t="s">
        <v>254</v>
      </c>
      <c r="C120" s="2" t="s">
        <v>1151</v>
      </c>
      <c r="D120" s="2" t="s">
        <v>6</v>
      </c>
      <c r="E120" s="2" t="s">
        <v>1249</v>
      </c>
    </row>
    <row r="121" customFormat="false" ht="15" hidden="false" customHeight="false" outlineLevel="0" collapsed="false">
      <c r="A121" s="2" t="n">
        <v>120</v>
      </c>
      <c r="B121" s="2" t="s">
        <v>254</v>
      </c>
      <c r="C121" s="2" t="s">
        <v>1153</v>
      </c>
      <c r="D121" s="2" t="s">
        <v>10</v>
      </c>
      <c r="E121" s="2" t="s">
        <v>1250</v>
      </c>
    </row>
    <row r="122" customFormat="false" ht="15" hidden="false" customHeight="false" outlineLevel="0" collapsed="false">
      <c r="A122" s="2" t="n">
        <v>121</v>
      </c>
      <c r="B122" s="2" t="s">
        <v>254</v>
      </c>
      <c r="C122" s="2" t="s">
        <v>1153</v>
      </c>
      <c r="D122" s="2" t="s">
        <v>12</v>
      </c>
      <c r="E122" s="2" t="s">
        <v>1251</v>
      </c>
    </row>
    <row r="123" customFormat="false" ht="15" hidden="false" customHeight="false" outlineLevel="0" collapsed="false">
      <c r="A123" s="2" t="n">
        <v>122</v>
      </c>
      <c r="B123" s="2" t="s">
        <v>254</v>
      </c>
      <c r="C123" s="2" t="s">
        <v>1151</v>
      </c>
      <c r="D123" s="2" t="s">
        <v>20</v>
      </c>
      <c r="E123" s="2" t="s">
        <v>1252</v>
      </c>
    </row>
    <row r="124" customFormat="false" ht="15" hidden="false" customHeight="false" outlineLevel="0" collapsed="false">
      <c r="A124" s="2" t="n">
        <v>123</v>
      </c>
      <c r="B124" s="2" t="s">
        <v>254</v>
      </c>
      <c r="C124" s="2" t="s">
        <v>1151</v>
      </c>
      <c r="D124" s="2" t="s">
        <v>18</v>
      </c>
      <c r="E124" s="2" t="s">
        <v>1253</v>
      </c>
    </row>
    <row r="125" customFormat="false" ht="15" hidden="false" customHeight="false" outlineLevel="0" collapsed="false">
      <c r="A125" s="2" t="n">
        <v>124</v>
      </c>
      <c r="B125" s="2" t="s">
        <v>254</v>
      </c>
      <c r="C125" s="2" t="s">
        <v>1151</v>
      </c>
      <c r="D125" s="2" t="s">
        <v>24</v>
      </c>
      <c r="E125" s="2" t="s">
        <v>1254</v>
      </c>
    </row>
    <row r="126" customFormat="false" ht="15" hidden="false" customHeight="false" outlineLevel="0" collapsed="false">
      <c r="A126" s="2" t="n">
        <v>125</v>
      </c>
      <c r="B126" s="2" t="s">
        <v>254</v>
      </c>
      <c r="C126" s="2" t="s">
        <v>1151</v>
      </c>
      <c r="D126" s="2" t="s">
        <v>22</v>
      </c>
      <c r="E126" s="2" t="s">
        <v>1255</v>
      </c>
    </row>
    <row r="127" customFormat="false" ht="15" hidden="false" customHeight="false" outlineLevel="0" collapsed="false">
      <c r="A127" s="2" t="n">
        <v>126</v>
      </c>
      <c r="B127" s="2" t="s">
        <v>254</v>
      </c>
      <c r="C127" s="2" t="s">
        <v>1151</v>
      </c>
      <c r="D127" s="2" t="s">
        <v>26</v>
      </c>
      <c r="E127" s="2" t="s">
        <v>1255</v>
      </c>
    </row>
    <row r="128" customFormat="false" ht="15" hidden="false" customHeight="false" outlineLevel="0" collapsed="false">
      <c r="A128" s="2" t="n">
        <v>127</v>
      </c>
      <c r="B128" s="2" t="s">
        <v>254</v>
      </c>
      <c r="C128" s="2" t="s">
        <v>1151</v>
      </c>
      <c r="D128" s="2" t="s">
        <v>27</v>
      </c>
      <c r="E128" s="2" t="s">
        <v>1256</v>
      </c>
    </row>
    <row r="129" customFormat="false" ht="15" hidden="false" customHeight="false" outlineLevel="0" collapsed="false">
      <c r="A129" s="2" t="n">
        <v>128</v>
      </c>
      <c r="B129" s="2" t="s">
        <v>254</v>
      </c>
      <c r="C129" s="2" t="s">
        <v>1151</v>
      </c>
      <c r="D129" s="2" t="s">
        <v>16</v>
      </c>
      <c r="E129" s="2" t="s">
        <v>1257</v>
      </c>
    </row>
    <row r="130" customFormat="false" ht="15" hidden="false" customHeight="false" outlineLevel="0" collapsed="false">
      <c r="A130" s="2" t="n">
        <v>129</v>
      </c>
      <c r="B130" s="2" t="s">
        <v>254</v>
      </c>
      <c r="C130" s="2" t="s">
        <v>1151</v>
      </c>
      <c r="D130" s="2" t="s">
        <v>262</v>
      </c>
      <c r="E130" s="2" t="s">
        <v>1258</v>
      </c>
    </row>
    <row r="131" customFormat="false" ht="15" hidden="false" customHeight="false" outlineLevel="0" collapsed="false">
      <c r="A131" s="2" t="n">
        <v>130</v>
      </c>
      <c r="B131" s="2" t="s">
        <v>254</v>
      </c>
      <c r="C131" s="2" t="s">
        <v>1151</v>
      </c>
      <c r="D131" s="2" t="s">
        <v>55</v>
      </c>
      <c r="E131" s="2" t="s">
        <v>1259</v>
      </c>
    </row>
    <row r="132" customFormat="false" ht="15" hidden="false" customHeight="false" outlineLevel="0" collapsed="false">
      <c r="A132" s="2" t="n">
        <v>131</v>
      </c>
      <c r="B132" s="2" t="s">
        <v>254</v>
      </c>
      <c r="C132" s="2" t="s">
        <v>1151</v>
      </c>
      <c r="D132" s="2" t="s">
        <v>57</v>
      </c>
      <c r="E132" s="2" t="s">
        <v>1259</v>
      </c>
    </row>
    <row r="133" customFormat="false" ht="15" hidden="false" customHeight="false" outlineLevel="0" collapsed="false">
      <c r="A133" s="2" t="n">
        <v>132</v>
      </c>
      <c r="B133" s="2" t="s">
        <v>254</v>
      </c>
      <c r="C133" s="2" t="s">
        <v>1151</v>
      </c>
      <c r="D133" s="2" t="s">
        <v>58</v>
      </c>
      <c r="E133" s="2" t="s">
        <v>1260</v>
      </c>
    </row>
    <row r="134" customFormat="false" ht="15" hidden="false" customHeight="false" outlineLevel="0" collapsed="false">
      <c r="A134" s="2" t="n">
        <v>133</v>
      </c>
      <c r="B134" s="2" t="s">
        <v>254</v>
      </c>
      <c r="C134" s="2" t="s">
        <v>1151</v>
      </c>
      <c r="D134" s="2" t="s">
        <v>60</v>
      </c>
      <c r="E134" s="2" t="s">
        <v>1260</v>
      </c>
    </row>
    <row r="135" customFormat="false" ht="15" hidden="false" customHeight="false" outlineLevel="0" collapsed="false">
      <c r="A135" s="2" t="n">
        <v>134</v>
      </c>
      <c r="B135" s="2" t="s">
        <v>254</v>
      </c>
      <c r="C135" s="2" t="s">
        <v>1151</v>
      </c>
      <c r="D135" s="2" t="s">
        <v>61</v>
      </c>
      <c r="E135" s="2" t="s">
        <v>1260</v>
      </c>
    </row>
    <row r="136" customFormat="false" ht="15" hidden="false" customHeight="false" outlineLevel="0" collapsed="false">
      <c r="A136" s="2" t="n">
        <v>135</v>
      </c>
      <c r="B136" s="2" t="s">
        <v>254</v>
      </c>
      <c r="C136" s="2" t="s">
        <v>1151</v>
      </c>
      <c r="D136" s="2" t="s">
        <v>62</v>
      </c>
      <c r="E136" s="2" t="s">
        <v>1260</v>
      </c>
    </row>
    <row r="137" customFormat="false" ht="15" hidden="false" customHeight="false" outlineLevel="0" collapsed="false">
      <c r="A137" s="2" t="n">
        <v>136</v>
      </c>
      <c r="B137" s="2" t="s">
        <v>254</v>
      </c>
      <c r="C137" s="2" t="s">
        <v>1151</v>
      </c>
      <c r="D137" s="2" t="s">
        <v>266</v>
      </c>
      <c r="E137" s="2" t="s">
        <v>1261</v>
      </c>
    </row>
    <row r="138" customFormat="false" ht="15" hidden="false" customHeight="false" outlineLevel="0" collapsed="false">
      <c r="A138" s="2" t="n">
        <v>137</v>
      </c>
      <c r="B138" s="2" t="s">
        <v>254</v>
      </c>
      <c r="C138" s="2" t="s">
        <v>1151</v>
      </c>
      <c r="D138" s="2" t="s">
        <v>36</v>
      </c>
      <c r="E138" s="2" t="s">
        <v>1262</v>
      </c>
    </row>
    <row r="139" customFormat="false" ht="15" hidden="false" customHeight="false" outlineLevel="0" collapsed="false">
      <c r="A139" s="2" t="n">
        <v>138</v>
      </c>
      <c r="B139" s="2" t="s">
        <v>254</v>
      </c>
      <c r="C139" s="2" t="s">
        <v>1173</v>
      </c>
      <c r="D139" s="2" t="s">
        <v>29</v>
      </c>
      <c r="E139" s="2" t="s">
        <v>1263</v>
      </c>
    </row>
    <row r="140" customFormat="false" ht="15" hidden="false" customHeight="false" outlineLevel="0" collapsed="false">
      <c r="A140" s="2" t="n">
        <v>139</v>
      </c>
      <c r="B140" s="2" t="s">
        <v>254</v>
      </c>
      <c r="C140" s="2" t="s">
        <v>1173</v>
      </c>
      <c r="D140" s="2" t="s">
        <v>31</v>
      </c>
      <c r="E140" s="2" t="s">
        <v>1264</v>
      </c>
    </row>
    <row r="141" customFormat="false" ht="15" hidden="false" customHeight="false" outlineLevel="0" collapsed="false">
      <c r="A141" s="2" t="n">
        <v>140</v>
      </c>
      <c r="B141" s="2" t="s">
        <v>254</v>
      </c>
      <c r="C141" s="2" t="s">
        <v>1173</v>
      </c>
      <c r="D141" s="2" t="s">
        <v>53</v>
      </c>
      <c r="E141" s="2" t="s">
        <v>1265</v>
      </c>
    </row>
    <row r="142" customFormat="false" ht="15" hidden="false" customHeight="false" outlineLevel="0" collapsed="false">
      <c r="A142" s="2" t="n">
        <v>141</v>
      </c>
      <c r="B142" s="2" t="s">
        <v>254</v>
      </c>
      <c r="C142" s="2" t="s">
        <v>1173</v>
      </c>
      <c r="D142" s="2" t="s">
        <v>271</v>
      </c>
      <c r="E142" s="2" t="s">
        <v>1265</v>
      </c>
    </row>
    <row r="143" customFormat="false" ht="15" hidden="false" customHeight="false" outlineLevel="0" collapsed="false">
      <c r="A143" s="2" t="n">
        <v>142</v>
      </c>
      <c r="B143" s="2" t="s">
        <v>254</v>
      </c>
      <c r="C143" s="2" t="s">
        <v>1173</v>
      </c>
      <c r="D143" s="2" t="s">
        <v>40</v>
      </c>
      <c r="E143" s="2" t="s">
        <v>1266</v>
      </c>
    </row>
    <row r="144" customFormat="false" ht="15" hidden="false" customHeight="false" outlineLevel="0" collapsed="false">
      <c r="A144" s="2" t="n">
        <v>143</v>
      </c>
      <c r="B144" s="2" t="s">
        <v>254</v>
      </c>
      <c r="C144" s="2" t="s">
        <v>1173</v>
      </c>
      <c r="D144" s="2" t="s">
        <v>273</v>
      </c>
      <c r="E144" s="2" t="s">
        <v>1267</v>
      </c>
    </row>
    <row r="145" customFormat="false" ht="15" hidden="false" customHeight="false" outlineLevel="0" collapsed="false">
      <c r="A145" s="2" t="n">
        <v>144</v>
      </c>
      <c r="B145" s="2" t="s">
        <v>254</v>
      </c>
      <c r="C145" s="2" t="s">
        <v>1151</v>
      </c>
      <c r="D145" s="2" t="s">
        <v>276</v>
      </c>
      <c r="E145" s="2" t="s">
        <v>1268</v>
      </c>
    </row>
    <row r="146" customFormat="false" ht="15" hidden="false" customHeight="false" outlineLevel="0" collapsed="false">
      <c r="A146" s="2" t="n">
        <v>145</v>
      </c>
      <c r="B146" s="2" t="s">
        <v>254</v>
      </c>
      <c r="C146" s="2" t="s">
        <v>1151</v>
      </c>
      <c r="D146" s="2" t="s">
        <v>82</v>
      </c>
      <c r="E146" s="2" t="s">
        <v>1269</v>
      </c>
    </row>
    <row r="147" customFormat="false" ht="15" hidden="false" customHeight="false" outlineLevel="0" collapsed="false">
      <c r="A147" s="2" t="n">
        <v>146</v>
      </c>
      <c r="B147" s="2" t="s">
        <v>254</v>
      </c>
      <c r="C147" s="2" t="s">
        <v>1151</v>
      </c>
      <c r="D147" s="2" t="s">
        <v>278</v>
      </c>
      <c r="E147" s="2" t="s">
        <v>1270</v>
      </c>
    </row>
    <row r="148" customFormat="false" ht="15" hidden="false" customHeight="false" outlineLevel="0" collapsed="false">
      <c r="A148" s="2" t="n">
        <v>147</v>
      </c>
      <c r="B148" s="2" t="s">
        <v>254</v>
      </c>
      <c r="C148" s="2" t="s">
        <v>1151</v>
      </c>
      <c r="D148" s="2" t="s">
        <v>280</v>
      </c>
      <c r="E148" s="2" t="s">
        <v>1271</v>
      </c>
    </row>
    <row r="149" customFormat="false" ht="15" hidden="false" customHeight="false" outlineLevel="0" collapsed="false">
      <c r="A149" s="2" t="n">
        <v>148</v>
      </c>
      <c r="B149" s="2" t="s">
        <v>254</v>
      </c>
      <c r="C149" s="2" t="s">
        <v>1151</v>
      </c>
      <c r="D149" s="2" t="s">
        <v>282</v>
      </c>
      <c r="E149" s="2" t="s">
        <v>1272</v>
      </c>
    </row>
    <row r="150" customFormat="false" ht="15" hidden="false" customHeight="false" outlineLevel="0" collapsed="false">
      <c r="A150" s="2" t="n">
        <v>149</v>
      </c>
      <c r="B150" s="2" t="s">
        <v>254</v>
      </c>
      <c r="C150" s="2" t="s">
        <v>1151</v>
      </c>
      <c r="D150" s="2" t="s">
        <v>284</v>
      </c>
      <c r="E150" s="2" t="s">
        <v>1273</v>
      </c>
    </row>
    <row r="151" customFormat="false" ht="15" hidden="false" customHeight="false" outlineLevel="0" collapsed="false">
      <c r="A151" s="2" t="n">
        <v>150</v>
      </c>
      <c r="B151" s="2" t="s">
        <v>254</v>
      </c>
      <c r="C151" s="2" t="s">
        <v>1153</v>
      </c>
      <c r="D151" s="2" t="s">
        <v>88</v>
      </c>
      <c r="E151" s="2" t="s">
        <v>1274</v>
      </c>
    </row>
    <row r="152" customFormat="false" ht="15" hidden="false" customHeight="false" outlineLevel="0" collapsed="false">
      <c r="A152" s="2" t="n">
        <v>151</v>
      </c>
      <c r="B152" s="2" t="s">
        <v>254</v>
      </c>
      <c r="C152" s="2" t="s">
        <v>1151</v>
      </c>
      <c r="D152" s="2" t="s">
        <v>287</v>
      </c>
      <c r="E152" s="2" t="s">
        <v>1258</v>
      </c>
    </row>
    <row r="153" customFormat="false" ht="15" hidden="false" customHeight="false" outlineLevel="0" collapsed="false">
      <c r="A153" s="2" t="n">
        <v>152</v>
      </c>
      <c r="B153" s="2" t="s">
        <v>254</v>
      </c>
      <c r="C153" s="2" t="s">
        <v>1151</v>
      </c>
      <c r="D153" s="2" t="s">
        <v>289</v>
      </c>
      <c r="E153" s="2" t="s">
        <v>1275</v>
      </c>
    </row>
    <row r="154" customFormat="false" ht="15" hidden="false" customHeight="false" outlineLevel="0" collapsed="false">
      <c r="A154" s="2" t="n">
        <v>153</v>
      </c>
      <c r="B154" s="2" t="s">
        <v>254</v>
      </c>
      <c r="C154" s="2" t="s">
        <v>1151</v>
      </c>
      <c r="D154" s="2" t="s">
        <v>291</v>
      </c>
      <c r="E154" s="2" t="s">
        <v>1276</v>
      </c>
    </row>
    <row r="155" customFormat="false" ht="15" hidden="false" customHeight="false" outlineLevel="0" collapsed="false">
      <c r="A155" s="2" t="n">
        <v>154</v>
      </c>
      <c r="B155" s="2" t="s">
        <v>254</v>
      </c>
      <c r="C155" s="2" t="s">
        <v>1151</v>
      </c>
      <c r="D155" s="2" t="s">
        <v>293</v>
      </c>
      <c r="E155" s="2" t="s">
        <v>1277</v>
      </c>
    </row>
    <row r="156" customFormat="false" ht="15" hidden="false" customHeight="false" outlineLevel="0" collapsed="false">
      <c r="A156" s="2" t="n">
        <v>155</v>
      </c>
      <c r="B156" s="2" t="s">
        <v>254</v>
      </c>
      <c r="C156" s="2" t="s">
        <v>1151</v>
      </c>
      <c r="D156" s="2" t="s">
        <v>295</v>
      </c>
      <c r="E156" s="2" t="s">
        <v>1278</v>
      </c>
    </row>
    <row r="157" customFormat="false" ht="15" hidden="false" customHeight="false" outlineLevel="0" collapsed="false">
      <c r="A157" s="2" t="n">
        <v>156</v>
      </c>
      <c r="B157" s="2" t="s">
        <v>254</v>
      </c>
      <c r="C157" s="2" t="s">
        <v>1151</v>
      </c>
      <c r="D157" s="2" t="s">
        <v>297</v>
      </c>
      <c r="E157" s="2" t="s">
        <v>1279</v>
      </c>
    </row>
    <row r="158" customFormat="false" ht="15" hidden="false" customHeight="false" outlineLevel="0" collapsed="false">
      <c r="A158" s="2" t="n">
        <v>157</v>
      </c>
      <c r="B158" s="2" t="s">
        <v>254</v>
      </c>
      <c r="C158" s="2" t="s">
        <v>1151</v>
      </c>
      <c r="D158" s="2" t="s">
        <v>299</v>
      </c>
      <c r="E158" s="2" t="s">
        <v>1280</v>
      </c>
    </row>
    <row r="159" customFormat="false" ht="15" hidden="false" customHeight="false" outlineLevel="0" collapsed="false">
      <c r="A159" s="2" t="n">
        <v>158</v>
      </c>
      <c r="B159" s="2" t="s">
        <v>254</v>
      </c>
      <c r="C159" s="2" t="s">
        <v>1151</v>
      </c>
      <c r="D159" s="2" t="s">
        <v>301</v>
      </c>
      <c r="E159" s="2" t="s">
        <v>1281</v>
      </c>
    </row>
    <row r="160" customFormat="false" ht="15" hidden="false" customHeight="false" outlineLevel="0" collapsed="false">
      <c r="A160" s="2" t="n">
        <v>159</v>
      </c>
      <c r="B160" s="2" t="s">
        <v>254</v>
      </c>
      <c r="C160" s="2" t="s">
        <v>1151</v>
      </c>
      <c r="D160" s="2" t="s">
        <v>303</v>
      </c>
      <c r="E160" s="2" t="s">
        <v>1282</v>
      </c>
    </row>
    <row r="161" customFormat="false" ht="15" hidden="false" customHeight="false" outlineLevel="0" collapsed="false">
      <c r="A161" s="2" t="n">
        <v>160</v>
      </c>
      <c r="B161" s="2" t="s">
        <v>254</v>
      </c>
      <c r="C161" s="2" t="s">
        <v>1151</v>
      </c>
      <c r="D161" s="2" t="s">
        <v>306</v>
      </c>
      <c r="E161" s="2" t="s">
        <v>1283</v>
      </c>
    </row>
    <row r="162" customFormat="false" ht="15" hidden="false" customHeight="false" outlineLevel="0" collapsed="false">
      <c r="A162" s="2" t="n">
        <v>161</v>
      </c>
      <c r="B162" s="2" t="s">
        <v>254</v>
      </c>
      <c r="C162" s="2" t="s">
        <v>1151</v>
      </c>
      <c r="D162" s="2" t="s">
        <v>308</v>
      </c>
      <c r="E162" s="2" t="s">
        <v>1284</v>
      </c>
    </row>
    <row r="163" customFormat="false" ht="15" hidden="false" customHeight="false" outlineLevel="0" collapsed="false">
      <c r="A163" s="2" t="n">
        <v>162</v>
      </c>
      <c r="B163" s="2" t="s">
        <v>254</v>
      </c>
      <c r="C163" s="2" t="s">
        <v>1153</v>
      </c>
      <c r="D163" s="2" t="s">
        <v>310</v>
      </c>
      <c r="E163" s="2" t="s">
        <v>1285</v>
      </c>
    </row>
    <row r="164" customFormat="false" ht="15" hidden="false" customHeight="false" outlineLevel="0" collapsed="false">
      <c r="A164" s="2" t="n">
        <v>163</v>
      </c>
      <c r="B164" s="2" t="s">
        <v>254</v>
      </c>
      <c r="C164" s="2" t="s">
        <v>1151</v>
      </c>
      <c r="D164" s="2" t="s">
        <v>216</v>
      </c>
      <c r="E164" s="2" t="s">
        <v>1286</v>
      </c>
    </row>
    <row r="165" customFormat="false" ht="15" hidden="false" customHeight="false" outlineLevel="0" collapsed="false">
      <c r="A165" s="2" t="n">
        <v>164</v>
      </c>
      <c r="B165" s="2" t="s">
        <v>254</v>
      </c>
      <c r="C165" s="2" t="s">
        <v>1173</v>
      </c>
      <c r="D165" s="2" t="s">
        <v>313</v>
      </c>
      <c r="E165" s="2" t="s">
        <v>1287</v>
      </c>
    </row>
    <row r="166" customFormat="false" ht="15" hidden="false" customHeight="false" outlineLevel="0" collapsed="false">
      <c r="A166" s="2" t="n">
        <v>165</v>
      </c>
      <c r="B166" s="2" t="s">
        <v>317</v>
      </c>
      <c r="C166" s="2" t="s">
        <v>1151</v>
      </c>
      <c r="D166" s="2" t="s">
        <v>315</v>
      </c>
      <c r="E166" s="2" t="s">
        <v>1288</v>
      </c>
    </row>
    <row r="167" customFormat="false" ht="15" hidden="false" customHeight="false" outlineLevel="0" collapsed="false">
      <c r="A167" s="2" t="n">
        <v>166</v>
      </c>
      <c r="B167" s="2" t="s">
        <v>317</v>
      </c>
      <c r="C167" s="2" t="s">
        <v>1151</v>
      </c>
      <c r="D167" s="2" t="s">
        <v>6</v>
      </c>
      <c r="E167" s="2" t="s">
        <v>1289</v>
      </c>
    </row>
    <row r="168" customFormat="false" ht="15" hidden="false" customHeight="false" outlineLevel="0" collapsed="false">
      <c r="A168" s="2" t="n">
        <v>167</v>
      </c>
      <c r="B168" s="2" t="s">
        <v>317</v>
      </c>
      <c r="C168" s="2" t="s">
        <v>1151</v>
      </c>
      <c r="D168" s="2" t="s">
        <v>160</v>
      </c>
      <c r="E168" s="2" t="s">
        <v>1290</v>
      </c>
    </row>
    <row r="169" customFormat="false" ht="15" hidden="false" customHeight="false" outlineLevel="0" collapsed="false">
      <c r="A169" s="2" t="n">
        <v>168</v>
      </c>
      <c r="B169" s="2" t="s">
        <v>317</v>
      </c>
      <c r="C169" s="2" t="s">
        <v>1151</v>
      </c>
      <c r="D169" s="2" t="s">
        <v>320</v>
      </c>
      <c r="E169" s="2" t="s">
        <v>1291</v>
      </c>
    </row>
    <row r="170" customFormat="false" ht="15" hidden="false" customHeight="false" outlineLevel="0" collapsed="false">
      <c r="A170" s="2" t="n">
        <v>169</v>
      </c>
      <c r="B170" s="2" t="s">
        <v>317</v>
      </c>
      <c r="C170" s="2" t="s">
        <v>1151</v>
      </c>
      <c r="D170" s="2" t="s">
        <v>16</v>
      </c>
      <c r="E170" s="2" t="s">
        <v>1292</v>
      </c>
    </row>
    <row r="171" customFormat="false" ht="15" hidden="false" customHeight="false" outlineLevel="0" collapsed="false">
      <c r="A171" s="2" t="n">
        <v>170</v>
      </c>
      <c r="B171" s="2" t="s">
        <v>317</v>
      </c>
      <c r="C171" s="2" t="s">
        <v>1151</v>
      </c>
      <c r="D171" s="2" t="s">
        <v>20</v>
      </c>
      <c r="E171" s="2" t="s">
        <v>1293</v>
      </c>
    </row>
    <row r="172" customFormat="false" ht="15" hidden="false" customHeight="false" outlineLevel="0" collapsed="false">
      <c r="A172" s="2" t="n">
        <v>171</v>
      </c>
      <c r="B172" s="2" t="s">
        <v>317</v>
      </c>
      <c r="C172" s="2" t="s">
        <v>1151</v>
      </c>
      <c r="D172" s="2" t="s">
        <v>18</v>
      </c>
      <c r="E172" s="2" t="s">
        <v>1293</v>
      </c>
    </row>
    <row r="173" customFormat="false" ht="15" hidden="false" customHeight="false" outlineLevel="0" collapsed="false">
      <c r="A173" s="2" t="n">
        <v>172</v>
      </c>
      <c r="B173" s="2" t="s">
        <v>317</v>
      </c>
      <c r="C173" s="2" t="s">
        <v>1151</v>
      </c>
      <c r="D173" s="2" t="s">
        <v>27</v>
      </c>
      <c r="E173" s="2" t="s">
        <v>1294</v>
      </c>
    </row>
    <row r="174" customFormat="false" ht="15" hidden="false" customHeight="false" outlineLevel="0" collapsed="false">
      <c r="A174" s="2" t="n">
        <v>173</v>
      </c>
      <c r="B174" s="2" t="s">
        <v>317</v>
      </c>
      <c r="C174" s="2" t="s">
        <v>1151</v>
      </c>
      <c r="D174" s="2" t="s">
        <v>22</v>
      </c>
      <c r="E174" s="2" t="s">
        <v>1295</v>
      </c>
    </row>
    <row r="175" customFormat="false" ht="15" hidden="false" customHeight="false" outlineLevel="0" collapsed="false">
      <c r="A175" s="2" t="n">
        <v>174</v>
      </c>
      <c r="B175" s="2" t="s">
        <v>317</v>
      </c>
      <c r="C175" s="2" t="s">
        <v>1151</v>
      </c>
      <c r="D175" s="2" t="s">
        <v>24</v>
      </c>
      <c r="E175" s="2" t="s">
        <v>1296</v>
      </c>
    </row>
    <row r="176" customFormat="false" ht="15" hidden="false" customHeight="false" outlineLevel="0" collapsed="false">
      <c r="A176" s="2" t="n">
        <v>175</v>
      </c>
      <c r="B176" s="2" t="s">
        <v>317</v>
      </c>
      <c r="C176" s="2" t="s">
        <v>1151</v>
      </c>
      <c r="D176" s="2" t="s">
        <v>26</v>
      </c>
      <c r="E176" s="2" t="s">
        <v>1297</v>
      </c>
    </row>
    <row r="177" customFormat="false" ht="15" hidden="false" customHeight="false" outlineLevel="0" collapsed="false">
      <c r="A177" s="2" t="n">
        <v>176</v>
      </c>
      <c r="B177" s="2" t="s">
        <v>317</v>
      </c>
      <c r="C177" s="2" t="s">
        <v>1151</v>
      </c>
      <c r="D177" s="2" t="s">
        <v>328</v>
      </c>
      <c r="E177" s="2" t="s">
        <v>1298</v>
      </c>
    </row>
    <row r="178" customFormat="false" ht="15" hidden="false" customHeight="false" outlineLevel="0" collapsed="false">
      <c r="A178" s="2" t="n">
        <v>177</v>
      </c>
      <c r="B178" s="2" t="s">
        <v>317</v>
      </c>
      <c r="C178" s="2" t="s">
        <v>1153</v>
      </c>
      <c r="D178" s="2" t="s">
        <v>330</v>
      </c>
      <c r="E178" s="2" t="s">
        <v>1299</v>
      </c>
    </row>
    <row r="179" customFormat="false" ht="15" hidden="false" customHeight="false" outlineLevel="0" collapsed="false">
      <c r="A179" s="2" t="n">
        <v>178</v>
      </c>
      <c r="B179" s="2" t="s">
        <v>317</v>
      </c>
      <c r="C179" s="2" t="s">
        <v>1151</v>
      </c>
      <c r="D179" s="2" t="s">
        <v>332</v>
      </c>
      <c r="E179" s="2" t="s">
        <v>1300</v>
      </c>
    </row>
    <row r="180" customFormat="false" ht="15" hidden="false" customHeight="false" outlineLevel="0" collapsed="false">
      <c r="A180" s="2" t="n">
        <v>179</v>
      </c>
      <c r="B180" s="2" t="s">
        <v>317</v>
      </c>
      <c r="C180" s="2" t="s">
        <v>1151</v>
      </c>
      <c r="D180" s="2" t="s">
        <v>155</v>
      </c>
      <c r="E180" s="2" t="s">
        <v>1301</v>
      </c>
    </row>
    <row r="181" customFormat="false" ht="15" hidden="false" customHeight="false" outlineLevel="0" collapsed="false">
      <c r="A181" s="2" t="n">
        <v>180</v>
      </c>
      <c r="B181" s="2" t="s">
        <v>317</v>
      </c>
      <c r="C181" s="2" t="s">
        <v>1151</v>
      </c>
      <c r="D181" s="2" t="s">
        <v>335</v>
      </c>
      <c r="E181" s="2" t="s">
        <v>1302</v>
      </c>
    </row>
    <row r="182" customFormat="false" ht="15" hidden="false" customHeight="false" outlineLevel="0" collapsed="false">
      <c r="A182" s="2" t="n">
        <v>181</v>
      </c>
      <c r="B182" s="2" t="s">
        <v>317</v>
      </c>
      <c r="C182" s="2" t="s">
        <v>1151</v>
      </c>
      <c r="D182" s="2" t="s">
        <v>337</v>
      </c>
      <c r="E182" s="2" t="s">
        <v>1303</v>
      </c>
    </row>
    <row r="183" customFormat="false" ht="15" hidden="false" customHeight="false" outlineLevel="0" collapsed="false">
      <c r="A183" s="2" t="n">
        <v>182</v>
      </c>
      <c r="B183" s="2" t="s">
        <v>317</v>
      </c>
      <c r="C183" s="2" t="s">
        <v>1151</v>
      </c>
      <c r="D183" s="2" t="s">
        <v>339</v>
      </c>
      <c r="E183" s="2" t="s">
        <v>1304</v>
      </c>
    </row>
    <row r="184" customFormat="false" ht="15" hidden="false" customHeight="false" outlineLevel="0" collapsed="false">
      <c r="A184" s="2" t="n">
        <v>183</v>
      </c>
      <c r="B184" s="2" t="s">
        <v>317</v>
      </c>
      <c r="C184" s="2" t="s">
        <v>1153</v>
      </c>
      <c r="D184" s="2" t="s">
        <v>341</v>
      </c>
      <c r="E184" s="2" t="s">
        <v>1305</v>
      </c>
    </row>
    <row r="185" customFormat="false" ht="15" hidden="false" customHeight="false" outlineLevel="0" collapsed="false">
      <c r="A185" s="2" t="n">
        <v>184</v>
      </c>
      <c r="B185" s="2" t="s">
        <v>317</v>
      </c>
      <c r="C185" s="2" t="s">
        <v>1153</v>
      </c>
      <c r="D185" s="2" t="s">
        <v>343</v>
      </c>
      <c r="E185" s="2" t="s">
        <v>1305</v>
      </c>
    </row>
    <row r="186" customFormat="false" ht="15" hidden="false" customHeight="false" outlineLevel="0" collapsed="false">
      <c r="A186" s="2" t="n">
        <v>185</v>
      </c>
      <c r="B186" s="2" t="s">
        <v>317</v>
      </c>
      <c r="C186" s="2" t="s">
        <v>1151</v>
      </c>
      <c r="D186" s="2" t="s">
        <v>344</v>
      </c>
      <c r="E186" s="2" t="s">
        <v>1306</v>
      </c>
    </row>
    <row r="187" customFormat="false" ht="15" hidden="false" customHeight="false" outlineLevel="0" collapsed="false">
      <c r="A187" s="2" t="n">
        <v>186</v>
      </c>
      <c r="B187" s="2" t="s">
        <v>317</v>
      </c>
      <c r="C187" s="2" t="s">
        <v>1151</v>
      </c>
      <c r="D187" s="2" t="s">
        <v>346</v>
      </c>
      <c r="E187" s="2" t="s">
        <v>1307</v>
      </c>
    </row>
    <row r="188" customFormat="false" ht="15" hidden="false" customHeight="false" outlineLevel="0" collapsed="false">
      <c r="A188" s="2" t="n">
        <v>187</v>
      </c>
      <c r="B188" s="2" t="s">
        <v>317</v>
      </c>
      <c r="C188" s="2" t="s">
        <v>1153</v>
      </c>
      <c r="D188" s="2" t="s">
        <v>174</v>
      </c>
      <c r="E188" s="2" t="s">
        <v>1308</v>
      </c>
    </row>
    <row r="189" customFormat="false" ht="15" hidden="false" customHeight="false" outlineLevel="0" collapsed="false">
      <c r="A189" s="2" t="n">
        <v>188</v>
      </c>
      <c r="B189" s="2" t="s">
        <v>317</v>
      </c>
      <c r="C189" s="2" t="s">
        <v>1153</v>
      </c>
      <c r="D189" s="2" t="s">
        <v>176</v>
      </c>
      <c r="E189" s="2" t="s">
        <v>1308</v>
      </c>
    </row>
    <row r="190" customFormat="false" ht="15" hidden="false" customHeight="false" outlineLevel="0" collapsed="false">
      <c r="A190" s="2" t="n">
        <v>189</v>
      </c>
      <c r="B190" s="2" t="s">
        <v>317</v>
      </c>
      <c r="C190" s="2" t="s">
        <v>1153</v>
      </c>
      <c r="D190" s="2" t="s">
        <v>349</v>
      </c>
      <c r="E190" s="2" t="s">
        <v>1309</v>
      </c>
    </row>
    <row r="191" customFormat="false" ht="15" hidden="false" customHeight="false" outlineLevel="0" collapsed="false">
      <c r="A191" s="2" t="n">
        <v>190</v>
      </c>
      <c r="B191" s="2" t="s">
        <v>317</v>
      </c>
      <c r="C191" s="2" t="s">
        <v>1153</v>
      </c>
      <c r="D191" s="2" t="s">
        <v>351</v>
      </c>
      <c r="E191" s="2" t="s">
        <v>1310</v>
      </c>
    </row>
    <row r="192" customFormat="false" ht="15" hidden="false" customHeight="false" outlineLevel="0" collapsed="false">
      <c r="A192" s="2" t="n">
        <v>191</v>
      </c>
      <c r="B192" s="2" t="s">
        <v>317</v>
      </c>
      <c r="C192" s="2" t="s">
        <v>1153</v>
      </c>
      <c r="D192" s="2" t="s">
        <v>353</v>
      </c>
      <c r="E192" s="2" t="s">
        <v>1311</v>
      </c>
    </row>
    <row r="193" customFormat="false" ht="15" hidden="false" customHeight="false" outlineLevel="0" collapsed="false">
      <c r="A193" s="2" t="n">
        <v>192</v>
      </c>
      <c r="B193" s="2" t="s">
        <v>317</v>
      </c>
      <c r="C193" s="2" t="s">
        <v>1153</v>
      </c>
      <c r="D193" s="2" t="s">
        <v>355</v>
      </c>
      <c r="E193" s="2" t="s">
        <v>1312</v>
      </c>
    </row>
    <row r="194" customFormat="false" ht="15" hidden="false" customHeight="false" outlineLevel="0" collapsed="false">
      <c r="A194" s="2" t="n">
        <v>193</v>
      </c>
      <c r="B194" s="2" t="s">
        <v>317</v>
      </c>
      <c r="C194" s="2" t="s">
        <v>1153</v>
      </c>
      <c r="D194" s="2" t="s">
        <v>357</v>
      </c>
      <c r="E194" s="2" t="s">
        <v>1313</v>
      </c>
    </row>
    <row r="195" customFormat="false" ht="15" hidden="false" customHeight="false" outlineLevel="0" collapsed="false">
      <c r="A195" s="2" t="n">
        <v>194</v>
      </c>
      <c r="B195" s="2" t="s">
        <v>317</v>
      </c>
      <c r="C195" s="2" t="s">
        <v>1153</v>
      </c>
      <c r="D195" s="2" t="s">
        <v>359</v>
      </c>
      <c r="E195" s="2" t="s">
        <v>1313</v>
      </c>
    </row>
    <row r="196" customFormat="false" ht="15" hidden="false" customHeight="false" outlineLevel="0" collapsed="false">
      <c r="A196" s="2" t="n">
        <v>195</v>
      </c>
      <c r="B196" s="2" t="s">
        <v>317</v>
      </c>
      <c r="C196" s="2" t="s">
        <v>1153</v>
      </c>
      <c r="D196" s="2" t="s">
        <v>360</v>
      </c>
      <c r="E196" s="2" t="s">
        <v>1314</v>
      </c>
    </row>
    <row r="197" customFormat="false" ht="15" hidden="false" customHeight="false" outlineLevel="0" collapsed="false">
      <c r="A197" s="2" t="n">
        <v>196</v>
      </c>
      <c r="B197" s="2" t="s">
        <v>317</v>
      </c>
      <c r="C197" s="2" t="s">
        <v>1151</v>
      </c>
      <c r="D197" s="2" t="s">
        <v>362</v>
      </c>
      <c r="E197" s="2" t="s">
        <v>1315</v>
      </c>
    </row>
    <row r="198" customFormat="false" ht="15" hidden="false" customHeight="false" outlineLevel="0" collapsed="false">
      <c r="A198" s="2" t="n">
        <v>197</v>
      </c>
      <c r="B198" s="2" t="s">
        <v>317</v>
      </c>
      <c r="C198" s="2" t="s">
        <v>1151</v>
      </c>
      <c r="D198" s="2" t="s">
        <v>364</v>
      </c>
      <c r="E198" s="2" t="s">
        <v>1316</v>
      </c>
    </row>
    <row r="199" customFormat="false" ht="15" hidden="false" customHeight="false" outlineLevel="0" collapsed="false">
      <c r="A199" s="2" t="n">
        <v>198</v>
      </c>
      <c r="B199" s="2" t="s">
        <v>317</v>
      </c>
      <c r="C199" s="2" t="s">
        <v>1151</v>
      </c>
      <c r="D199" s="2" t="s">
        <v>55</v>
      </c>
      <c r="E199" s="2" t="s">
        <v>1317</v>
      </c>
    </row>
    <row r="200" customFormat="false" ht="15" hidden="false" customHeight="false" outlineLevel="0" collapsed="false">
      <c r="A200" s="2" t="n">
        <v>199</v>
      </c>
      <c r="B200" s="2" t="s">
        <v>317</v>
      </c>
      <c r="C200" s="2" t="s">
        <v>1151</v>
      </c>
      <c r="D200" s="2" t="s">
        <v>57</v>
      </c>
      <c r="E200" s="2" t="s">
        <v>1318</v>
      </c>
    </row>
    <row r="201" customFormat="false" ht="15" hidden="false" customHeight="false" outlineLevel="0" collapsed="false">
      <c r="A201" s="2" t="n">
        <v>200</v>
      </c>
      <c r="B201" s="2" t="s">
        <v>317</v>
      </c>
      <c r="C201" s="2" t="s">
        <v>1151</v>
      </c>
      <c r="D201" s="2" t="s">
        <v>58</v>
      </c>
      <c r="E201" s="2" t="s">
        <v>1319</v>
      </c>
    </row>
    <row r="202" customFormat="false" ht="15" hidden="false" customHeight="false" outlineLevel="0" collapsed="false">
      <c r="A202" s="2" t="n">
        <v>201</v>
      </c>
      <c r="B202" s="2" t="s">
        <v>317</v>
      </c>
      <c r="C202" s="2" t="s">
        <v>1151</v>
      </c>
      <c r="D202" s="2" t="s">
        <v>60</v>
      </c>
      <c r="E202" s="2" t="s">
        <v>1320</v>
      </c>
    </row>
    <row r="203" customFormat="false" ht="15" hidden="false" customHeight="false" outlineLevel="0" collapsed="false">
      <c r="A203" s="2" t="n">
        <v>202</v>
      </c>
      <c r="B203" s="2" t="s">
        <v>317</v>
      </c>
      <c r="C203" s="2" t="s">
        <v>1151</v>
      </c>
      <c r="D203" s="2" t="s">
        <v>61</v>
      </c>
      <c r="E203" s="2" t="s">
        <v>1319</v>
      </c>
    </row>
    <row r="204" customFormat="false" ht="15" hidden="false" customHeight="false" outlineLevel="0" collapsed="false">
      <c r="A204" s="2" t="n">
        <v>203</v>
      </c>
      <c r="B204" s="2" t="s">
        <v>317</v>
      </c>
      <c r="C204" s="2" t="s">
        <v>1151</v>
      </c>
      <c r="D204" s="2" t="s">
        <v>62</v>
      </c>
      <c r="E204" s="2" t="s">
        <v>1321</v>
      </c>
    </row>
    <row r="205" customFormat="false" ht="15" hidden="false" customHeight="false" outlineLevel="0" collapsed="false">
      <c r="A205" s="2" t="n">
        <v>204</v>
      </c>
      <c r="B205" s="2" t="s">
        <v>317</v>
      </c>
      <c r="C205" s="2" t="s">
        <v>1151</v>
      </c>
      <c r="D205" s="2" t="s">
        <v>53</v>
      </c>
      <c r="E205" s="2" t="s">
        <v>1322</v>
      </c>
    </row>
    <row r="206" customFormat="false" ht="15" hidden="false" customHeight="false" outlineLevel="0" collapsed="false">
      <c r="A206" s="2" t="n">
        <v>205</v>
      </c>
      <c r="B206" s="2" t="s">
        <v>317</v>
      </c>
      <c r="C206" s="2" t="s">
        <v>1151</v>
      </c>
      <c r="D206" s="2" t="s">
        <v>271</v>
      </c>
      <c r="E206" s="2" t="s">
        <v>1323</v>
      </c>
    </row>
    <row r="207" customFormat="false" ht="15" hidden="false" customHeight="false" outlineLevel="0" collapsed="false">
      <c r="A207" s="2" t="n">
        <v>206</v>
      </c>
      <c r="B207" s="2" t="s">
        <v>317</v>
      </c>
      <c r="C207" s="2" t="s">
        <v>1151</v>
      </c>
      <c r="D207" s="2" t="s">
        <v>372</v>
      </c>
      <c r="E207" s="2" t="s">
        <v>1324</v>
      </c>
    </row>
    <row r="208" customFormat="false" ht="15" hidden="false" customHeight="false" outlineLevel="0" collapsed="false">
      <c r="A208" s="2" t="n">
        <v>207</v>
      </c>
      <c r="B208" s="2" t="s">
        <v>317</v>
      </c>
      <c r="C208" s="2" t="s">
        <v>1151</v>
      </c>
      <c r="D208" s="2" t="s">
        <v>375</v>
      </c>
      <c r="E208" s="2" t="s">
        <v>1325</v>
      </c>
    </row>
    <row r="209" customFormat="false" ht="15" hidden="false" customHeight="false" outlineLevel="0" collapsed="false">
      <c r="A209" s="2" t="n">
        <v>208</v>
      </c>
      <c r="B209" s="2" t="s">
        <v>317</v>
      </c>
      <c r="C209" s="2" t="s">
        <v>1151</v>
      </c>
      <c r="D209" s="2" t="s">
        <v>377</v>
      </c>
      <c r="E209" s="2" t="s">
        <v>1325</v>
      </c>
    </row>
    <row r="210" customFormat="false" ht="15" hidden="false" customHeight="false" outlineLevel="0" collapsed="false">
      <c r="A210" s="2" t="n">
        <v>209</v>
      </c>
      <c r="B210" s="2" t="s">
        <v>317</v>
      </c>
      <c r="C210" s="2" t="s">
        <v>1151</v>
      </c>
      <c r="D210" s="2" t="s">
        <v>378</v>
      </c>
      <c r="E210" s="2" t="s">
        <v>1326</v>
      </c>
    </row>
    <row r="211" customFormat="false" ht="15" hidden="false" customHeight="false" outlineLevel="0" collapsed="false">
      <c r="A211" s="2" t="n">
        <v>210</v>
      </c>
      <c r="B211" s="2" t="s">
        <v>317</v>
      </c>
      <c r="C211" s="2" t="s">
        <v>1153</v>
      </c>
      <c r="D211" s="2" t="s">
        <v>380</v>
      </c>
      <c r="E211" s="2" t="s">
        <v>1327</v>
      </c>
    </row>
    <row r="212" customFormat="false" ht="15" hidden="false" customHeight="false" outlineLevel="0" collapsed="false">
      <c r="A212" s="2" t="n">
        <v>211</v>
      </c>
      <c r="B212" s="2" t="s">
        <v>317</v>
      </c>
      <c r="C212" s="2" t="s">
        <v>1153</v>
      </c>
      <c r="D212" s="2" t="s">
        <v>381</v>
      </c>
      <c r="E212" s="2" t="s">
        <v>1327</v>
      </c>
    </row>
    <row r="213" customFormat="false" ht="15" hidden="false" customHeight="false" outlineLevel="0" collapsed="false">
      <c r="A213" s="2" t="n">
        <v>212</v>
      </c>
      <c r="B213" s="2" t="s">
        <v>317</v>
      </c>
      <c r="C213" s="2" t="s">
        <v>1153</v>
      </c>
      <c r="D213" s="2" t="s">
        <v>382</v>
      </c>
      <c r="E213" s="2" t="s">
        <v>1328</v>
      </c>
    </row>
    <row r="214" customFormat="false" ht="15" hidden="false" customHeight="false" outlineLevel="0" collapsed="false">
      <c r="A214" s="2" t="n">
        <v>213</v>
      </c>
      <c r="B214" s="2" t="s">
        <v>317</v>
      </c>
      <c r="C214" s="2" t="s">
        <v>1153</v>
      </c>
      <c r="D214" s="2" t="s">
        <v>384</v>
      </c>
      <c r="E214" s="2" t="s">
        <v>1329</v>
      </c>
    </row>
    <row r="215" customFormat="false" ht="15" hidden="false" customHeight="false" outlineLevel="0" collapsed="false">
      <c r="A215" s="2" t="n">
        <v>214</v>
      </c>
      <c r="B215" s="2" t="s">
        <v>317</v>
      </c>
      <c r="C215" s="2" t="s">
        <v>1151</v>
      </c>
      <c r="D215" s="2" t="s">
        <v>386</v>
      </c>
      <c r="E215" s="2" t="s">
        <v>1330</v>
      </c>
    </row>
    <row r="216" customFormat="false" ht="15" hidden="false" customHeight="false" outlineLevel="0" collapsed="false">
      <c r="A216" s="2" t="n">
        <v>215</v>
      </c>
      <c r="B216" s="2" t="s">
        <v>317</v>
      </c>
      <c r="C216" s="2" t="s">
        <v>1153</v>
      </c>
      <c r="D216" s="2" t="s">
        <v>262</v>
      </c>
      <c r="E216" s="2" t="s">
        <v>1331</v>
      </c>
    </row>
    <row r="217" customFormat="false" ht="15" hidden="false" customHeight="false" outlineLevel="0" collapsed="false">
      <c r="A217" s="2" t="n">
        <v>216</v>
      </c>
      <c r="B217" s="2" t="s">
        <v>317</v>
      </c>
      <c r="C217" s="2" t="s">
        <v>1173</v>
      </c>
      <c r="D217" s="2" t="s">
        <v>29</v>
      </c>
      <c r="E217" s="2" t="s">
        <v>1332</v>
      </c>
    </row>
    <row r="218" customFormat="false" ht="15" hidden="false" customHeight="false" outlineLevel="0" collapsed="false">
      <c r="A218" s="2" t="n">
        <v>217</v>
      </c>
      <c r="B218" s="2" t="s">
        <v>317</v>
      </c>
      <c r="C218" s="2" t="s">
        <v>1173</v>
      </c>
      <c r="D218" s="2" t="s">
        <v>390</v>
      </c>
      <c r="E218" s="2" t="s">
        <v>1333</v>
      </c>
    </row>
    <row r="219" customFormat="false" ht="15" hidden="false" customHeight="false" outlineLevel="0" collapsed="false">
      <c r="A219" s="2" t="n">
        <v>218</v>
      </c>
      <c r="B219" s="2" t="s">
        <v>317</v>
      </c>
      <c r="C219" s="2" t="s">
        <v>1173</v>
      </c>
      <c r="D219" s="2" t="s">
        <v>392</v>
      </c>
      <c r="E219" s="2" t="s">
        <v>1334</v>
      </c>
    </row>
    <row r="220" customFormat="false" ht="15" hidden="false" customHeight="false" outlineLevel="0" collapsed="false">
      <c r="A220" s="2" t="n">
        <v>219</v>
      </c>
      <c r="B220" s="2" t="s">
        <v>317</v>
      </c>
      <c r="C220" s="2" t="s">
        <v>1173</v>
      </c>
      <c r="D220" s="2" t="s">
        <v>394</v>
      </c>
      <c r="E220" s="2" t="s">
        <v>1334</v>
      </c>
    </row>
    <row r="221" customFormat="false" ht="15" hidden="false" customHeight="false" outlineLevel="0" collapsed="false">
      <c r="A221" s="2" t="n">
        <v>220</v>
      </c>
      <c r="B221" s="2" t="s">
        <v>317</v>
      </c>
      <c r="C221" s="2" t="s">
        <v>1173</v>
      </c>
      <c r="D221" s="2" t="s">
        <v>395</v>
      </c>
      <c r="E221" s="2" t="s">
        <v>1335</v>
      </c>
    </row>
    <row r="222" customFormat="false" ht="15" hidden="false" customHeight="false" outlineLevel="0" collapsed="false">
      <c r="A222" s="2" t="n">
        <v>221</v>
      </c>
      <c r="B222" s="2" t="s">
        <v>317</v>
      </c>
      <c r="C222" s="2" t="s">
        <v>1173</v>
      </c>
      <c r="D222" s="2" t="s">
        <v>397</v>
      </c>
      <c r="E222" s="2" t="s">
        <v>1335</v>
      </c>
    </row>
    <row r="223" customFormat="false" ht="15" hidden="false" customHeight="false" outlineLevel="0" collapsed="false">
      <c r="A223" s="2" t="n">
        <v>222</v>
      </c>
      <c r="B223" s="2" t="s">
        <v>317</v>
      </c>
      <c r="C223" s="2" t="s">
        <v>1173</v>
      </c>
      <c r="D223" s="2" t="s">
        <v>399</v>
      </c>
      <c r="E223" s="2" t="s">
        <v>1335</v>
      </c>
    </row>
    <row r="224" customFormat="false" ht="15" hidden="false" customHeight="false" outlineLevel="0" collapsed="false">
      <c r="A224" s="2" t="n">
        <v>223</v>
      </c>
      <c r="B224" s="2" t="s">
        <v>317</v>
      </c>
      <c r="C224" s="2" t="s">
        <v>1173</v>
      </c>
      <c r="D224" s="2" t="s">
        <v>401</v>
      </c>
      <c r="E224" s="2" t="s">
        <v>1335</v>
      </c>
    </row>
    <row r="225" customFormat="false" ht="15" hidden="false" customHeight="false" outlineLevel="0" collapsed="false">
      <c r="A225" s="2" t="n">
        <v>224</v>
      </c>
      <c r="B225" s="2" t="s">
        <v>317</v>
      </c>
      <c r="C225" s="2" t="s">
        <v>1173</v>
      </c>
      <c r="D225" s="2" t="s">
        <v>403</v>
      </c>
      <c r="E225" s="2" t="s">
        <v>1336</v>
      </c>
    </row>
    <row r="226" customFormat="false" ht="15" hidden="false" customHeight="false" outlineLevel="0" collapsed="false">
      <c r="A226" s="2" t="n">
        <v>225</v>
      </c>
      <c r="B226" s="2" t="s">
        <v>317</v>
      </c>
      <c r="C226" s="2" t="s">
        <v>1173</v>
      </c>
      <c r="D226" s="2" t="s">
        <v>405</v>
      </c>
      <c r="E226" s="2" t="s">
        <v>1336</v>
      </c>
    </row>
    <row r="227" customFormat="false" ht="15" hidden="false" customHeight="false" outlineLevel="0" collapsed="false">
      <c r="A227" s="2" t="n">
        <v>226</v>
      </c>
      <c r="B227" s="2" t="s">
        <v>317</v>
      </c>
      <c r="C227" s="2" t="s">
        <v>1173</v>
      </c>
      <c r="D227" s="2" t="s">
        <v>407</v>
      </c>
      <c r="E227" s="2" t="s">
        <v>1336</v>
      </c>
    </row>
    <row r="228" customFormat="false" ht="15" hidden="false" customHeight="false" outlineLevel="0" collapsed="false">
      <c r="A228" s="2" t="n">
        <v>227</v>
      </c>
      <c r="B228" s="2" t="s">
        <v>317</v>
      </c>
      <c r="C228" s="2" t="s">
        <v>1173</v>
      </c>
      <c r="D228" s="2" t="s">
        <v>409</v>
      </c>
      <c r="E228" s="2" t="s">
        <v>1337</v>
      </c>
    </row>
    <row r="229" customFormat="false" ht="15" hidden="false" customHeight="false" outlineLevel="0" collapsed="false">
      <c r="A229" s="2" t="n">
        <v>228</v>
      </c>
      <c r="B229" s="2" t="s">
        <v>317</v>
      </c>
      <c r="C229" s="2" t="s">
        <v>1173</v>
      </c>
      <c r="D229" s="2" t="s">
        <v>411</v>
      </c>
      <c r="E229" s="2" t="s">
        <v>1338</v>
      </c>
    </row>
    <row r="230" customFormat="false" ht="15" hidden="false" customHeight="false" outlineLevel="0" collapsed="false">
      <c r="A230" s="2" t="n">
        <v>229</v>
      </c>
      <c r="B230" s="2" t="s">
        <v>317</v>
      </c>
      <c r="C230" s="2" t="s">
        <v>1173</v>
      </c>
      <c r="D230" s="2" t="s">
        <v>414</v>
      </c>
      <c r="E230" s="2" t="s">
        <v>1339</v>
      </c>
    </row>
    <row r="231" customFormat="false" ht="15" hidden="false" customHeight="false" outlineLevel="0" collapsed="false">
      <c r="A231" s="2" t="n">
        <v>230</v>
      </c>
      <c r="B231" s="2" t="s">
        <v>317</v>
      </c>
      <c r="C231" s="2" t="s">
        <v>1173</v>
      </c>
      <c r="D231" s="2" t="s">
        <v>416</v>
      </c>
      <c r="E231" s="2" t="s">
        <v>1339</v>
      </c>
    </row>
    <row r="232" customFormat="false" ht="15" hidden="false" customHeight="false" outlineLevel="0" collapsed="false">
      <c r="A232" s="2" t="n">
        <v>231</v>
      </c>
      <c r="B232" s="2" t="s">
        <v>317</v>
      </c>
      <c r="C232" s="2" t="s">
        <v>1151</v>
      </c>
      <c r="D232" s="2" t="s">
        <v>82</v>
      </c>
      <c r="E232" s="2" t="s">
        <v>1340</v>
      </c>
    </row>
    <row r="233" customFormat="false" ht="15" hidden="false" customHeight="false" outlineLevel="0" collapsed="false">
      <c r="A233" s="2" t="n">
        <v>232</v>
      </c>
      <c r="B233" s="2" t="s">
        <v>317</v>
      </c>
      <c r="C233" s="2" t="s">
        <v>1151</v>
      </c>
      <c r="D233" s="2" t="s">
        <v>418</v>
      </c>
      <c r="E233" s="2" t="s">
        <v>1341</v>
      </c>
    </row>
    <row r="234" customFormat="false" ht="15" hidden="false" customHeight="false" outlineLevel="0" collapsed="false">
      <c r="A234" s="2" t="n">
        <v>233</v>
      </c>
      <c r="B234" s="2" t="s">
        <v>317</v>
      </c>
      <c r="C234" s="2" t="s">
        <v>1153</v>
      </c>
      <c r="D234" s="2" t="s">
        <v>420</v>
      </c>
      <c r="E234" s="2" t="s">
        <v>1342</v>
      </c>
    </row>
    <row r="235" customFormat="false" ht="15" hidden="false" customHeight="false" outlineLevel="0" collapsed="false">
      <c r="A235" s="2" t="n">
        <v>234</v>
      </c>
      <c r="B235" s="2" t="s">
        <v>317</v>
      </c>
      <c r="C235" s="2" t="s">
        <v>1151</v>
      </c>
      <c r="D235" s="2" t="s">
        <v>422</v>
      </c>
      <c r="E235" s="2" t="s">
        <v>1291</v>
      </c>
    </row>
    <row r="236" customFormat="false" ht="15" hidden="false" customHeight="false" outlineLevel="0" collapsed="false">
      <c r="A236" s="2" t="n">
        <v>235</v>
      </c>
      <c r="B236" s="2" t="s">
        <v>317</v>
      </c>
      <c r="C236" s="2" t="s">
        <v>1151</v>
      </c>
      <c r="D236" s="2" t="s">
        <v>424</v>
      </c>
      <c r="E236" s="2" t="s">
        <v>1343</v>
      </c>
    </row>
    <row r="237" customFormat="false" ht="15" hidden="false" customHeight="false" outlineLevel="0" collapsed="false">
      <c r="A237" s="2" t="n">
        <v>236</v>
      </c>
      <c r="B237" s="2" t="s">
        <v>317</v>
      </c>
      <c r="C237" s="2" t="s">
        <v>1151</v>
      </c>
      <c r="D237" s="2" t="s">
        <v>426</v>
      </c>
      <c r="E237" s="2" t="s">
        <v>1293</v>
      </c>
    </row>
    <row r="238" customFormat="false" ht="15" hidden="false" customHeight="false" outlineLevel="0" collapsed="false">
      <c r="A238" s="2" t="n">
        <v>237</v>
      </c>
      <c r="B238" s="2" t="s">
        <v>317</v>
      </c>
      <c r="C238" s="2" t="s">
        <v>1151</v>
      </c>
      <c r="D238" s="2" t="s">
        <v>428</v>
      </c>
      <c r="E238" s="2" t="s">
        <v>1293</v>
      </c>
    </row>
    <row r="239" customFormat="false" ht="15" hidden="false" customHeight="false" outlineLevel="0" collapsed="false">
      <c r="A239" s="2" t="n">
        <v>238</v>
      </c>
      <c r="B239" s="2" t="s">
        <v>317</v>
      </c>
      <c r="C239" s="2" t="s">
        <v>1151</v>
      </c>
      <c r="D239" s="2" t="s">
        <v>430</v>
      </c>
      <c r="E239" s="2" t="s">
        <v>1344</v>
      </c>
    </row>
    <row r="240" customFormat="false" ht="15" hidden="false" customHeight="false" outlineLevel="0" collapsed="false">
      <c r="A240" s="2" t="n">
        <v>239</v>
      </c>
      <c r="B240" s="2" t="s">
        <v>317</v>
      </c>
      <c r="C240" s="2" t="s">
        <v>1153</v>
      </c>
      <c r="D240" s="2" t="s">
        <v>432</v>
      </c>
      <c r="E240" s="2" t="s">
        <v>1345</v>
      </c>
    </row>
    <row r="241" customFormat="false" ht="15" hidden="false" customHeight="false" outlineLevel="0" collapsed="false">
      <c r="A241" s="2" t="n">
        <v>240</v>
      </c>
      <c r="B241" s="2" t="s">
        <v>317</v>
      </c>
      <c r="C241" s="2" t="s">
        <v>1151</v>
      </c>
      <c r="D241" s="2" t="s">
        <v>434</v>
      </c>
      <c r="E241" s="2" t="s">
        <v>1346</v>
      </c>
    </row>
    <row r="242" customFormat="false" ht="15" hidden="false" customHeight="false" outlineLevel="0" collapsed="false">
      <c r="A242" s="2" t="n">
        <v>241</v>
      </c>
      <c r="B242" s="2" t="s">
        <v>317</v>
      </c>
      <c r="C242" s="2" t="s">
        <v>1151</v>
      </c>
      <c r="D242" s="2" t="s">
        <v>436</v>
      </c>
      <c r="E242" s="2" t="s">
        <v>1347</v>
      </c>
    </row>
    <row r="243" customFormat="false" ht="15" hidden="false" customHeight="false" outlineLevel="0" collapsed="false">
      <c r="A243" s="2" t="n">
        <v>242</v>
      </c>
      <c r="B243" s="2" t="s">
        <v>317</v>
      </c>
      <c r="C243" s="2" t="s">
        <v>1151</v>
      </c>
      <c r="D243" s="2" t="s">
        <v>438</v>
      </c>
      <c r="E243" s="2" t="s">
        <v>1348</v>
      </c>
    </row>
    <row r="244" customFormat="false" ht="15" hidden="false" customHeight="false" outlineLevel="0" collapsed="false">
      <c r="A244" s="2" t="n">
        <v>243</v>
      </c>
      <c r="B244" s="2" t="s">
        <v>317</v>
      </c>
      <c r="C244" s="2" t="s">
        <v>1151</v>
      </c>
      <c r="D244" s="2" t="s">
        <v>103</v>
      </c>
      <c r="E244" s="2" t="s">
        <v>1349</v>
      </c>
    </row>
    <row r="245" customFormat="false" ht="15" hidden="false" customHeight="false" outlineLevel="0" collapsed="false">
      <c r="A245" s="2" t="n">
        <v>244</v>
      </c>
      <c r="B245" s="2" t="s">
        <v>317</v>
      </c>
      <c r="C245" s="2" t="s">
        <v>1151</v>
      </c>
      <c r="D245" s="2" t="s">
        <v>334</v>
      </c>
      <c r="E245" s="2" t="s">
        <v>1301</v>
      </c>
    </row>
    <row r="246" customFormat="false" ht="15" hidden="false" customHeight="false" outlineLevel="0" collapsed="false">
      <c r="A246" s="2" t="n">
        <v>245</v>
      </c>
      <c r="B246" s="2" t="s">
        <v>317</v>
      </c>
      <c r="C246" s="2" t="s">
        <v>1151</v>
      </c>
      <c r="D246" s="2" t="s">
        <v>444</v>
      </c>
      <c r="E246" s="2" t="s">
        <v>1350</v>
      </c>
    </row>
    <row r="247" customFormat="false" ht="15" hidden="false" customHeight="false" outlineLevel="0" collapsed="false">
      <c r="A247" s="2" t="n">
        <v>246</v>
      </c>
      <c r="B247" s="2" t="s">
        <v>317</v>
      </c>
      <c r="C247" s="2" t="s">
        <v>1153</v>
      </c>
      <c r="D247" s="2" t="s">
        <v>446</v>
      </c>
      <c r="E247" s="2" t="s">
        <v>1351</v>
      </c>
    </row>
    <row r="248" customFormat="false" ht="15" hidden="false" customHeight="false" outlineLevel="0" collapsed="false">
      <c r="A248" s="2" t="n">
        <v>247</v>
      </c>
      <c r="B248" s="2" t="s">
        <v>317</v>
      </c>
      <c r="C248" s="2" t="s">
        <v>1151</v>
      </c>
      <c r="D248" s="2" t="s">
        <v>448</v>
      </c>
      <c r="E248" s="2" t="s">
        <v>1352</v>
      </c>
    </row>
    <row r="249" customFormat="false" ht="15" hidden="false" customHeight="false" outlineLevel="0" collapsed="false">
      <c r="A249" s="2" t="n">
        <v>248</v>
      </c>
      <c r="B249" s="2" t="s">
        <v>317</v>
      </c>
      <c r="C249" s="2" t="s">
        <v>1153</v>
      </c>
      <c r="D249" s="2" t="s">
        <v>451</v>
      </c>
      <c r="E249" s="2" t="s">
        <v>1353</v>
      </c>
    </row>
    <row r="250" customFormat="false" ht="15" hidden="false" customHeight="false" outlineLevel="0" collapsed="false">
      <c r="A250" s="2" t="n">
        <v>249</v>
      </c>
      <c r="B250" s="2" t="s">
        <v>317</v>
      </c>
      <c r="C250" s="2" t="s">
        <v>1151</v>
      </c>
      <c r="D250" s="2" t="s">
        <v>453</v>
      </c>
      <c r="E250" s="2" t="s">
        <v>1354</v>
      </c>
    </row>
    <row r="251" customFormat="false" ht="15" hidden="false" customHeight="false" outlineLevel="0" collapsed="false">
      <c r="A251" s="2" t="n">
        <v>250</v>
      </c>
      <c r="B251" s="2" t="s">
        <v>317</v>
      </c>
      <c r="C251" s="2" t="s">
        <v>1153</v>
      </c>
      <c r="D251" s="2" t="s">
        <v>455</v>
      </c>
      <c r="E251" s="2" t="s">
        <v>1351</v>
      </c>
    </row>
    <row r="252" customFormat="false" ht="15" hidden="false" customHeight="false" outlineLevel="0" collapsed="false">
      <c r="A252" s="2" t="n">
        <v>251</v>
      </c>
      <c r="B252" s="2" t="s">
        <v>317</v>
      </c>
      <c r="C252" s="2" t="s">
        <v>1153</v>
      </c>
      <c r="D252" s="2" t="s">
        <v>457</v>
      </c>
      <c r="E252" s="2" t="s">
        <v>1355</v>
      </c>
    </row>
    <row r="253" customFormat="false" ht="15" hidden="false" customHeight="false" outlineLevel="0" collapsed="false">
      <c r="A253" s="2" t="n">
        <v>252</v>
      </c>
      <c r="B253" s="2" t="s">
        <v>317</v>
      </c>
      <c r="C253" s="2" t="s">
        <v>1153</v>
      </c>
      <c r="D253" s="2" t="s">
        <v>459</v>
      </c>
      <c r="E253" s="2" t="s">
        <v>1351</v>
      </c>
    </row>
    <row r="254" customFormat="false" ht="15" hidden="false" customHeight="false" outlineLevel="0" collapsed="false">
      <c r="A254" s="2" t="n">
        <v>253</v>
      </c>
      <c r="B254" s="2" t="s">
        <v>317</v>
      </c>
      <c r="C254" s="2" t="s">
        <v>1153</v>
      </c>
      <c r="D254" s="2" t="s">
        <v>461</v>
      </c>
      <c r="E254" s="2" t="s">
        <v>1351</v>
      </c>
    </row>
    <row r="255" customFormat="false" ht="15" hidden="false" customHeight="false" outlineLevel="0" collapsed="false">
      <c r="A255" s="2" t="n">
        <v>254</v>
      </c>
      <c r="B255" s="2" t="s">
        <v>317</v>
      </c>
      <c r="C255" s="2" t="s">
        <v>1153</v>
      </c>
      <c r="D255" s="2" t="s">
        <v>463</v>
      </c>
      <c r="E255" s="2" t="s">
        <v>1351</v>
      </c>
    </row>
    <row r="256" customFormat="false" ht="15" hidden="false" customHeight="false" outlineLevel="0" collapsed="false">
      <c r="A256" s="2" t="n">
        <v>255</v>
      </c>
      <c r="B256" s="2" t="s">
        <v>317</v>
      </c>
      <c r="C256" s="2" t="s">
        <v>1153</v>
      </c>
      <c r="D256" s="2" t="s">
        <v>465</v>
      </c>
      <c r="E256" s="2" t="s">
        <v>1351</v>
      </c>
    </row>
    <row r="257" customFormat="false" ht="15" hidden="false" customHeight="false" outlineLevel="0" collapsed="false">
      <c r="A257" s="2" t="n">
        <v>256</v>
      </c>
      <c r="B257" s="2" t="s">
        <v>317</v>
      </c>
      <c r="C257" s="2" t="s">
        <v>1151</v>
      </c>
      <c r="D257" s="2" t="s">
        <v>467</v>
      </c>
      <c r="E257" s="2" t="s">
        <v>1356</v>
      </c>
    </row>
    <row r="258" customFormat="false" ht="15" hidden="false" customHeight="false" outlineLevel="0" collapsed="false">
      <c r="A258" s="2" t="n">
        <v>257</v>
      </c>
      <c r="B258" s="2" t="s">
        <v>317</v>
      </c>
      <c r="C258" s="2" t="s">
        <v>1151</v>
      </c>
      <c r="D258" s="2" t="s">
        <v>469</v>
      </c>
      <c r="E258" s="2" t="s">
        <v>1357</v>
      </c>
    </row>
    <row r="259" customFormat="false" ht="15" hidden="false" customHeight="false" outlineLevel="0" collapsed="false">
      <c r="A259" s="2" t="n">
        <v>258</v>
      </c>
      <c r="B259" s="2" t="s">
        <v>317</v>
      </c>
      <c r="C259" s="2" t="s">
        <v>1151</v>
      </c>
      <c r="D259" s="2" t="s">
        <v>471</v>
      </c>
      <c r="E259" s="2" t="s">
        <v>1358</v>
      </c>
    </row>
    <row r="260" customFormat="false" ht="15" hidden="false" customHeight="false" outlineLevel="0" collapsed="false">
      <c r="A260" s="2" t="n">
        <v>259</v>
      </c>
      <c r="B260" s="2" t="s">
        <v>317</v>
      </c>
      <c r="C260" s="2" t="s">
        <v>1151</v>
      </c>
      <c r="D260" s="2" t="s">
        <v>473</v>
      </c>
      <c r="E260" s="2" t="s">
        <v>1359</v>
      </c>
    </row>
    <row r="261" customFormat="false" ht="15" hidden="false" customHeight="false" outlineLevel="0" collapsed="false">
      <c r="A261" s="2" t="n">
        <v>260</v>
      </c>
      <c r="B261" s="2" t="s">
        <v>317</v>
      </c>
      <c r="C261" s="2" t="s">
        <v>1151</v>
      </c>
      <c r="D261" s="2" t="s">
        <v>476</v>
      </c>
      <c r="E261" s="2" t="s">
        <v>1356</v>
      </c>
    </row>
    <row r="262" customFormat="false" ht="15" hidden="false" customHeight="false" outlineLevel="0" collapsed="false">
      <c r="A262" s="2" t="n">
        <v>261</v>
      </c>
      <c r="B262" s="2" t="s">
        <v>317</v>
      </c>
      <c r="C262" s="2" t="s">
        <v>1151</v>
      </c>
      <c r="D262" s="2" t="s">
        <v>478</v>
      </c>
      <c r="E262" s="2" t="s">
        <v>1360</v>
      </c>
    </row>
    <row r="263" customFormat="false" ht="15" hidden="false" customHeight="false" outlineLevel="0" collapsed="false">
      <c r="A263" s="2" t="n">
        <v>262</v>
      </c>
      <c r="B263" s="2" t="s">
        <v>317</v>
      </c>
      <c r="C263" s="2" t="s">
        <v>1151</v>
      </c>
      <c r="D263" s="2" t="s">
        <v>479</v>
      </c>
      <c r="E263" s="2" t="s">
        <v>1325</v>
      </c>
    </row>
    <row r="264" customFormat="false" ht="15" hidden="false" customHeight="false" outlineLevel="0" collapsed="false">
      <c r="A264" s="2" t="n">
        <v>263</v>
      </c>
      <c r="B264" s="2" t="s">
        <v>317</v>
      </c>
      <c r="C264" s="2" t="s">
        <v>1151</v>
      </c>
      <c r="D264" s="2" t="s">
        <v>482</v>
      </c>
      <c r="E264" s="2" t="s">
        <v>1358</v>
      </c>
    </row>
    <row r="265" customFormat="false" ht="15" hidden="false" customHeight="false" outlineLevel="0" collapsed="false">
      <c r="A265" s="2" t="n">
        <v>264</v>
      </c>
      <c r="B265" s="2" t="s">
        <v>317</v>
      </c>
      <c r="C265" s="2" t="s">
        <v>1151</v>
      </c>
      <c r="D265" s="2" t="s">
        <v>484</v>
      </c>
      <c r="E265" s="2" t="s">
        <v>1321</v>
      </c>
    </row>
    <row r="266" customFormat="false" ht="15" hidden="false" customHeight="false" outlineLevel="0" collapsed="false">
      <c r="A266" s="2" t="n">
        <v>265</v>
      </c>
      <c r="B266" s="2" t="s">
        <v>317</v>
      </c>
      <c r="C266" s="2" t="s">
        <v>1151</v>
      </c>
      <c r="D266" s="2" t="s">
        <v>486</v>
      </c>
      <c r="E266" s="2" t="s">
        <v>1361</v>
      </c>
    </row>
    <row r="267" customFormat="false" ht="15" hidden="false" customHeight="false" outlineLevel="0" collapsed="false">
      <c r="A267" s="2" t="n">
        <v>266</v>
      </c>
      <c r="B267" s="2" t="s">
        <v>317</v>
      </c>
      <c r="C267" s="2" t="s">
        <v>1151</v>
      </c>
      <c r="D267" s="2" t="s">
        <v>488</v>
      </c>
      <c r="E267" s="2" t="s">
        <v>1326</v>
      </c>
    </row>
    <row r="268" customFormat="false" ht="15" hidden="false" customHeight="false" outlineLevel="0" collapsed="false">
      <c r="A268" s="2" t="n">
        <v>267</v>
      </c>
      <c r="B268" s="2" t="s">
        <v>317</v>
      </c>
      <c r="C268" s="2" t="s">
        <v>1153</v>
      </c>
      <c r="D268" s="2" t="s">
        <v>232</v>
      </c>
      <c r="E268" s="2" t="s">
        <v>1351</v>
      </c>
    </row>
    <row r="269" customFormat="false" ht="15" hidden="false" customHeight="false" outlineLevel="0" collapsed="false">
      <c r="A269" s="2" t="n">
        <v>268</v>
      </c>
      <c r="B269" s="2" t="s">
        <v>317</v>
      </c>
      <c r="C269" s="2" t="s">
        <v>1151</v>
      </c>
      <c r="D269" s="2" t="s">
        <v>491</v>
      </c>
      <c r="E269" s="2" t="s">
        <v>1362</v>
      </c>
    </row>
    <row r="270" customFormat="false" ht="15" hidden="false" customHeight="false" outlineLevel="0" collapsed="false">
      <c r="A270" s="2" t="n">
        <v>269</v>
      </c>
      <c r="B270" s="2" t="s">
        <v>317</v>
      </c>
      <c r="C270" s="2" t="s">
        <v>1153</v>
      </c>
      <c r="D270" s="2" t="s">
        <v>216</v>
      </c>
      <c r="E270" s="2" t="s">
        <v>1363</v>
      </c>
    </row>
    <row r="271" customFormat="false" ht="15" hidden="false" customHeight="false" outlineLevel="0" collapsed="false">
      <c r="A271" s="2" t="n">
        <v>270</v>
      </c>
      <c r="B271" s="2" t="s">
        <v>317</v>
      </c>
      <c r="C271" s="2" t="s">
        <v>1151</v>
      </c>
      <c r="D271" s="2" t="s">
        <v>494</v>
      </c>
      <c r="E271" s="2" t="s">
        <v>1362</v>
      </c>
    </row>
    <row r="272" customFormat="false" ht="15" hidden="false" customHeight="false" outlineLevel="0" collapsed="false">
      <c r="A272" s="2" t="n">
        <v>271</v>
      </c>
      <c r="B272" s="2" t="s">
        <v>317</v>
      </c>
      <c r="C272" s="2" t="s">
        <v>1173</v>
      </c>
      <c r="D272" s="2" t="s">
        <v>496</v>
      </c>
      <c r="E272" s="2" t="s">
        <v>1364</v>
      </c>
    </row>
    <row r="273" customFormat="false" ht="15" hidden="false" customHeight="false" outlineLevel="0" collapsed="false">
      <c r="A273" s="2" t="n">
        <v>272</v>
      </c>
      <c r="B273" s="2" t="s">
        <v>317</v>
      </c>
      <c r="C273" s="2" t="s">
        <v>1173</v>
      </c>
      <c r="D273" s="2" t="s">
        <v>101</v>
      </c>
      <c r="E273" s="2" t="s">
        <v>1365</v>
      </c>
    </row>
    <row r="274" customFormat="false" ht="15" hidden="false" customHeight="false" outlineLevel="0" collapsed="false">
      <c r="A274" s="2" t="n">
        <v>273</v>
      </c>
      <c r="B274" s="2" t="s">
        <v>317</v>
      </c>
      <c r="C274" s="2" t="s">
        <v>1151</v>
      </c>
      <c r="D274" s="2" t="s">
        <v>86</v>
      </c>
      <c r="E274" s="2" t="s">
        <v>1366</v>
      </c>
    </row>
    <row r="275" customFormat="false" ht="15" hidden="false" customHeight="false" outlineLevel="0" collapsed="false">
      <c r="A275" s="2" t="n">
        <v>274</v>
      </c>
      <c r="B275" s="2" t="s">
        <v>317</v>
      </c>
      <c r="C275" s="2" t="s">
        <v>1173</v>
      </c>
      <c r="D275" s="2" t="s">
        <v>500</v>
      </c>
      <c r="E275" s="2" t="s">
        <v>1367</v>
      </c>
    </row>
    <row r="276" customFormat="false" ht="15" hidden="false" customHeight="false" outlineLevel="0" collapsed="false">
      <c r="A276" s="2" t="n">
        <v>275</v>
      </c>
      <c r="B276" s="2" t="s">
        <v>317</v>
      </c>
      <c r="C276" s="2" t="s">
        <v>1173</v>
      </c>
      <c r="D276" s="2" t="s">
        <v>502</v>
      </c>
      <c r="E276" s="2" t="s">
        <v>1368</v>
      </c>
    </row>
    <row r="277" customFormat="false" ht="15" hidden="false" customHeight="false" outlineLevel="0" collapsed="false">
      <c r="A277" s="2" t="n">
        <v>276</v>
      </c>
      <c r="B277" s="2" t="s">
        <v>317</v>
      </c>
      <c r="C277" s="2" t="s">
        <v>1173</v>
      </c>
      <c r="D277" s="2" t="s">
        <v>504</v>
      </c>
      <c r="E277" s="2" t="s">
        <v>1369</v>
      </c>
    </row>
    <row r="278" customFormat="false" ht="15" hidden="false" customHeight="false" outlineLevel="0" collapsed="false">
      <c r="A278" s="2" t="n">
        <v>277</v>
      </c>
      <c r="B278" s="2" t="s">
        <v>317</v>
      </c>
      <c r="C278" s="2" t="s">
        <v>1173</v>
      </c>
      <c r="D278" s="2" t="s">
        <v>506</v>
      </c>
      <c r="E278" s="2" t="s">
        <v>1370</v>
      </c>
    </row>
    <row r="279" customFormat="false" ht="15" hidden="false" customHeight="false" outlineLevel="0" collapsed="false">
      <c r="A279" s="2" t="n">
        <v>278</v>
      </c>
      <c r="B279" s="2" t="s">
        <v>317</v>
      </c>
      <c r="C279" s="2" t="s">
        <v>1173</v>
      </c>
      <c r="D279" s="2" t="s">
        <v>508</v>
      </c>
      <c r="E279" s="2" t="s">
        <v>1371</v>
      </c>
    </row>
    <row r="280" customFormat="false" ht="15" hidden="false" customHeight="false" outlineLevel="0" collapsed="false">
      <c r="A280" s="2" t="n">
        <v>279</v>
      </c>
      <c r="B280" s="2" t="s">
        <v>317</v>
      </c>
      <c r="C280" s="2" t="s">
        <v>1173</v>
      </c>
      <c r="D280" s="2" t="s">
        <v>510</v>
      </c>
      <c r="E280" s="2" t="s">
        <v>1372</v>
      </c>
    </row>
    <row r="281" customFormat="false" ht="15" hidden="false" customHeight="false" outlineLevel="0" collapsed="false">
      <c r="A281" s="2" t="n">
        <v>280</v>
      </c>
      <c r="B281" s="2" t="s">
        <v>317</v>
      </c>
      <c r="C281" s="2" t="s">
        <v>1173</v>
      </c>
      <c r="D281" s="2" t="s">
        <v>222</v>
      </c>
      <c r="E281" s="2" t="s">
        <v>1373</v>
      </c>
    </row>
    <row r="282" customFormat="false" ht="15" hidden="false" customHeight="false" outlineLevel="0" collapsed="false">
      <c r="A282" s="2" t="n">
        <v>281</v>
      </c>
      <c r="B282" s="2" t="s">
        <v>514</v>
      </c>
      <c r="C282" s="2" t="s">
        <v>1151</v>
      </c>
      <c r="D282" s="2" t="s">
        <v>6</v>
      </c>
      <c r="E282" s="2" t="s">
        <v>1374</v>
      </c>
    </row>
    <row r="283" customFormat="false" ht="15" hidden="false" customHeight="false" outlineLevel="0" collapsed="false">
      <c r="A283" s="2" t="n">
        <v>282</v>
      </c>
      <c r="B283" s="2" t="s">
        <v>514</v>
      </c>
      <c r="C283" s="2" t="s">
        <v>1151</v>
      </c>
      <c r="D283" s="2" t="s">
        <v>12</v>
      </c>
      <c r="E283" s="2" t="s">
        <v>1375</v>
      </c>
    </row>
    <row r="284" customFormat="false" ht="15" hidden="false" customHeight="false" outlineLevel="0" collapsed="false">
      <c r="A284" s="2" t="n">
        <v>283</v>
      </c>
      <c r="B284" s="2" t="s">
        <v>514</v>
      </c>
      <c r="C284" s="2" t="s">
        <v>1153</v>
      </c>
      <c r="D284" s="2" t="s">
        <v>156</v>
      </c>
      <c r="E284" s="2" t="s">
        <v>1376</v>
      </c>
    </row>
    <row r="285" customFormat="false" ht="15" hidden="false" customHeight="false" outlineLevel="0" collapsed="false">
      <c r="A285" s="2" t="n">
        <v>284</v>
      </c>
      <c r="B285" s="2" t="s">
        <v>514</v>
      </c>
      <c r="C285" s="2" t="s">
        <v>1151</v>
      </c>
      <c r="D285" s="2" t="s">
        <v>153</v>
      </c>
      <c r="E285" s="2" t="s">
        <v>1377</v>
      </c>
    </row>
    <row r="286" customFormat="false" ht="15" hidden="false" customHeight="false" outlineLevel="0" collapsed="false">
      <c r="A286" s="2" t="n">
        <v>285</v>
      </c>
      <c r="B286" s="2" t="s">
        <v>514</v>
      </c>
      <c r="C286" s="2" t="s">
        <v>1151</v>
      </c>
      <c r="D286" s="2" t="s">
        <v>24</v>
      </c>
      <c r="E286" s="2" t="s">
        <v>1378</v>
      </c>
    </row>
    <row r="287" customFormat="false" ht="15" hidden="false" customHeight="false" outlineLevel="0" collapsed="false">
      <c r="A287" s="2" t="n">
        <v>286</v>
      </c>
      <c r="B287" s="2" t="s">
        <v>514</v>
      </c>
      <c r="C287" s="2" t="s">
        <v>1151</v>
      </c>
      <c r="D287" s="2" t="s">
        <v>26</v>
      </c>
      <c r="E287" s="2" t="s">
        <v>1378</v>
      </c>
    </row>
    <row r="288" customFormat="false" ht="15" hidden="false" customHeight="false" outlineLevel="0" collapsed="false">
      <c r="A288" s="2" t="n">
        <v>287</v>
      </c>
      <c r="B288" s="2" t="s">
        <v>514</v>
      </c>
      <c r="C288" s="2" t="s">
        <v>1151</v>
      </c>
      <c r="D288" s="2" t="s">
        <v>22</v>
      </c>
      <c r="E288" s="2" t="s">
        <v>1379</v>
      </c>
    </row>
    <row r="289" customFormat="false" ht="15" hidden="false" customHeight="false" outlineLevel="0" collapsed="false">
      <c r="A289" s="2" t="n">
        <v>288</v>
      </c>
      <c r="B289" s="2" t="s">
        <v>514</v>
      </c>
      <c r="C289" s="2" t="s">
        <v>1151</v>
      </c>
      <c r="D289" s="2" t="s">
        <v>27</v>
      </c>
      <c r="E289" s="2" t="s">
        <v>1380</v>
      </c>
    </row>
    <row r="290" customFormat="false" ht="15" hidden="false" customHeight="false" outlineLevel="0" collapsed="false">
      <c r="A290" s="2" t="n">
        <v>289</v>
      </c>
      <c r="B290" s="2" t="s">
        <v>514</v>
      </c>
      <c r="C290" s="2" t="s">
        <v>1153</v>
      </c>
      <c r="D290" s="2" t="s">
        <v>20</v>
      </c>
      <c r="E290" s="2" t="s">
        <v>1381</v>
      </c>
    </row>
    <row r="291" customFormat="false" ht="15" hidden="false" customHeight="false" outlineLevel="0" collapsed="false">
      <c r="A291" s="2" t="n">
        <v>290</v>
      </c>
      <c r="B291" s="2" t="s">
        <v>514</v>
      </c>
      <c r="C291" s="2" t="s">
        <v>1151</v>
      </c>
      <c r="D291" s="2" t="s">
        <v>29</v>
      </c>
      <c r="E291" s="2" t="s">
        <v>1382</v>
      </c>
    </row>
    <row r="292" customFormat="false" ht="15" hidden="false" customHeight="false" outlineLevel="0" collapsed="false">
      <c r="A292" s="2" t="n">
        <v>291</v>
      </c>
      <c r="B292" s="2" t="s">
        <v>514</v>
      </c>
      <c r="C292" s="2" t="s">
        <v>1151</v>
      </c>
      <c r="D292" s="2" t="s">
        <v>522</v>
      </c>
      <c r="E292" s="2" t="s">
        <v>1383</v>
      </c>
    </row>
    <row r="293" customFormat="false" ht="15" hidden="false" customHeight="false" outlineLevel="0" collapsed="false">
      <c r="A293" s="2" t="n">
        <v>292</v>
      </c>
      <c r="B293" s="2" t="s">
        <v>514</v>
      </c>
      <c r="C293" s="2" t="s">
        <v>1151</v>
      </c>
      <c r="D293" s="2" t="s">
        <v>40</v>
      </c>
      <c r="E293" s="2" t="s">
        <v>1384</v>
      </c>
    </row>
    <row r="294" customFormat="false" ht="15" hidden="false" customHeight="false" outlineLevel="0" collapsed="false">
      <c r="A294" s="2" t="n">
        <v>293</v>
      </c>
      <c r="B294" s="2" t="s">
        <v>514</v>
      </c>
      <c r="C294" s="2" t="s">
        <v>1153</v>
      </c>
      <c r="D294" s="2" t="s">
        <v>60</v>
      </c>
      <c r="E294" s="2" t="s">
        <v>1385</v>
      </c>
    </row>
    <row r="295" customFormat="false" ht="15" hidden="false" customHeight="false" outlineLevel="0" collapsed="false">
      <c r="A295" s="2" t="n">
        <v>294</v>
      </c>
      <c r="B295" s="2" t="s">
        <v>514</v>
      </c>
      <c r="C295" s="2" t="s">
        <v>1153</v>
      </c>
      <c r="D295" s="2" t="s">
        <v>62</v>
      </c>
      <c r="E295" s="2" t="s">
        <v>1385</v>
      </c>
    </row>
    <row r="296" customFormat="false" ht="15" hidden="false" customHeight="false" outlineLevel="0" collapsed="false">
      <c r="A296" s="2" t="n">
        <v>295</v>
      </c>
      <c r="B296" s="2" t="s">
        <v>514</v>
      </c>
      <c r="C296" s="2" t="s">
        <v>1151</v>
      </c>
      <c r="D296" s="2" t="s">
        <v>55</v>
      </c>
      <c r="E296" s="2" t="s">
        <v>1386</v>
      </c>
    </row>
    <row r="297" customFormat="false" ht="15" hidden="false" customHeight="false" outlineLevel="0" collapsed="false">
      <c r="A297" s="2" t="n">
        <v>296</v>
      </c>
      <c r="B297" s="2" t="s">
        <v>514</v>
      </c>
      <c r="C297" s="2" t="s">
        <v>1151</v>
      </c>
      <c r="D297" s="2" t="s">
        <v>57</v>
      </c>
      <c r="E297" s="2" t="s">
        <v>1387</v>
      </c>
    </row>
    <row r="298" customFormat="false" ht="15" hidden="false" customHeight="false" outlineLevel="0" collapsed="false">
      <c r="A298" s="2" t="n">
        <v>297</v>
      </c>
      <c r="B298" s="2" t="s">
        <v>514</v>
      </c>
      <c r="C298" s="2" t="s">
        <v>1151</v>
      </c>
      <c r="D298" s="2" t="s">
        <v>364</v>
      </c>
      <c r="E298" s="2" t="s">
        <v>1388</v>
      </c>
    </row>
    <row r="299" customFormat="false" ht="15" hidden="false" customHeight="false" outlineLevel="0" collapsed="false">
      <c r="A299" s="2" t="n">
        <v>298</v>
      </c>
      <c r="B299" s="2" t="s">
        <v>514</v>
      </c>
      <c r="C299" s="2" t="s">
        <v>1153</v>
      </c>
      <c r="D299" s="2" t="s">
        <v>527</v>
      </c>
      <c r="E299" s="2" t="s">
        <v>1389</v>
      </c>
    </row>
    <row r="300" customFormat="false" ht="15" hidden="false" customHeight="false" outlineLevel="0" collapsed="false">
      <c r="A300" s="2" t="n">
        <v>299</v>
      </c>
      <c r="B300" s="2" t="s">
        <v>514</v>
      </c>
      <c r="C300" s="2" t="s">
        <v>1151</v>
      </c>
      <c r="D300" s="2" t="s">
        <v>529</v>
      </c>
      <c r="E300" s="2" t="s">
        <v>1390</v>
      </c>
    </row>
    <row r="301" customFormat="false" ht="15" hidden="false" customHeight="false" outlineLevel="0" collapsed="false">
      <c r="A301" s="2" t="n">
        <v>300</v>
      </c>
      <c r="B301" s="2" t="s">
        <v>514</v>
      </c>
      <c r="C301" s="2" t="s">
        <v>1153</v>
      </c>
      <c r="D301" s="2" t="s">
        <v>531</v>
      </c>
      <c r="E301" s="2" t="s">
        <v>1391</v>
      </c>
    </row>
    <row r="302" customFormat="false" ht="15" hidden="false" customHeight="false" outlineLevel="0" collapsed="false">
      <c r="A302" s="2" t="n">
        <v>301</v>
      </c>
      <c r="B302" s="2" t="s">
        <v>514</v>
      </c>
      <c r="C302" s="2" t="s">
        <v>1151</v>
      </c>
      <c r="D302" s="2" t="s">
        <v>533</v>
      </c>
      <c r="E302" s="2" t="s">
        <v>1269</v>
      </c>
    </row>
    <row r="303" customFormat="false" ht="15" hidden="false" customHeight="false" outlineLevel="0" collapsed="false">
      <c r="A303" s="2" t="n">
        <v>302</v>
      </c>
      <c r="B303" s="2" t="s">
        <v>514</v>
      </c>
      <c r="C303" s="2" t="s">
        <v>1151</v>
      </c>
      <c r="D303" s="2" t="s">
        <v>534</v>
      </c>
      <c r="E303" s="2" t="s">
        <v>1392</v>
      </c>
    </row>
    <row r="304" customFormat="false" ht="15" hidden="false" customHeight="false" outlineLevel="0" collapsed="false">
      <c r="A304" s="2" t="n">
        <v>303</v>
      </c>
      <c r="B304" s="2" t="s">
        <v>514</v>
      </c>
      <c r="C304" s="2" t="s">
        <v>1151</v>
      </c>
      <c r="D304" s="2" t="s">
        <v>114</v>
      </c>
      <c r="E304" s="2" t="s">
        <v>1393</v>
      </c>
    </row>
    <row r="305" customFormat="false" ht="15" hidden="false" customHeight="false" outlineLevel="0" collapsed="false">
      <c r="A305" s="2" t="n">
        <v>304</v>
      </c>
      <c r="B305" s="2" t="s">
        <v>514</v>
      </c>
      <c r="C305" s="2" t="s">
        <v>1151</v>
      </c>
      <c r="D305" s="2" t="s">
        <v>537</v>
      </c>
      <c r="E305" s="2" t="s">
        <v>1394</v>
      </c>
    </row>
    <row r="306" customFormat="false" ht="15" hidden="false" customHeight="false" outlineLevel="0" collapsed="false">
      <c r="A306" s="2" t="n">
        <v>305</v>
      </c>
      <c r="B306" s="2" t="s">
        <v>514</v>
      </c>
      <c r="C306" s="2" t="s">
        <v>1151</v>
      </c>
      <c r="D306" s="2" t="s">
        <v>539</v>
      </c>
      <c r="E306" s="2" t="s">
        <v>1395</v>
      </c>
    </row>
    <row r="307" customFormat="false" ht="15" hidden="false" customHeight="false" outlineLevel="0" collapsed="false">
      <c r="A307" s="2" t="n">
        <v>306</v>
      </c>
      <c r="B307" s="2" t="s">
        <v>514</v>
      </c>
      <c r="C307" s="2" t="s">
        <v>1151</v>
      </c>
      <c r="D307" s="2" t="s">
        <v>541</v>
      </c>
      <c r="E307" s="2" t="s">
        <v>1396</v>
      </c>
    </row>
    <row r="308" customFormat="false" ht="15" hidden="false" customHeight="false" outlineLevel="0" collapsed="false">
      <c r="A308" s="2" t="n">
        <v>307</v>
      </c>
      <c r="B308" s="2" t="s">
        <v>514</v>
      </c>
      <c r="C308" s="2" t="s">
        <v>1153</v>
      </c>
      <c r="D308" s="2" t="s">
        <v>543</v>
      </c>
      <c r="E308" s="2" t="s">
        <v>1397</v>
      </c>
    </row>
    <row r="309" customFormat="false" ht="15" hidden="false" customHeight="false" outlineLevel="0" collapsed="false">
      <c r="A309" s="2" t="n">
        <v>308</v>
      </c>
      <c r="B309" s="2" t="s">
        <v>514</v>
      </c>
      <c r="C309" s="2" t="s">
        <v>1151</v>
      </c>
      <c r="D309" s="2" t="s">
        <v>524</v>
      </c>
      <c r="E309" s="2" t="s">
        <v>1398</v>
      </c>
    </row>
    <row r="310" customFormat="false" ht="15" hidden="false" customHeight="false" outlineLevel="0" collapsed="false">
      <c r="A310" s="2" t="n">
        <v>309</v>
      </c>
      <c r="B310" s="2" t="s">
        <v>514</v>
      </c>
      <c r="C310" s="2" t="s">
        <v>1151</v>
      </c>
      <c r="D310" s="2" t="s">
        <v>546</v>
      </c>
      <c r="E310" s="2" t="s">
        <v>1399</v>
      </c>
    </row>
    <row r="311" customFormat="false" ht="15" hidden="false" customHeight="false" outlineLevel="0" collapsed="false">
      <c r="A311" s="2" t="n">
        <v>310</v>
      </c>
      <c r="B311" s="2" t="s">
        <v>514</v>
      </c>
      <c r="C311" s="2" t="s">
        <v>1153</v>
      </c>
      <c r="D311" s="2" t="s">
        <v>548</v>
      </c>
      <c r="E311" s="2" t="s">
        <v>1400</v>
      </c>
    </row>
    <row r="312" customFormat="false" ht="15" hidden="false" customHeight="false" outlineLevel="0" collapsed="false">
      <c r="A312" s="2" t="n">
        <v>311</v>
      </c>
      <c r="B312" s="2" t="s">
        <v>514</v>
      </c>
      <c r="C312" s="2" t="s">
        <v>1151</v>
      </c>
      <c r="D312" s="2" t="s">
        <v>550</v>
      </c>
      <c r="E312" s="2" t="s">
        <v>1401</v>
      </c>
    </row>
    <row r="313" customFormat="false" ht="15" hidden="false" customHeight="false" outlineLevel="0" collapsed="false">
      <c r="A313" s="2" t="n">
        <v>312</v>
      </c>
      <c r="B313" s="2" t="s">
        <v>514</v>
      </c>
      <c r="C313" s="2" t="s">
        <v>1151</v>
      </c>
      <c r="D313" s="2" t="s">
        <v>552</v>
      </c>
      <c r="E313" s="2" t="s">
        <v>1402</v>
      </c>
    </row>
    <row r="314" customFormat="false" ht="15" hidden="false" customHeight="false" outlineLevel="0" collapsed="false">
      <c r="A314" s="2" t="n">
        <v>313</v>
      </c>
      <c r="B314" s="2" t="s">
        <v>514</v>
      </c>
      <c r="C314" s="2" t="s">
        <v>1151</v>
      </c>
      <c r="D314" s="2" t="s">
        <v>481</v>
      </c>
      <c r="E314" s="2" t="s">
        <v>1403</v>
      </c>
    </row>
    <row r="315" customFormat="false" ht="15" hidden="false" customHeight="false" outlineLevel="0" collapsed="false">
      <c r="A315" s="2" t="n">
        <v>314</v>
      </c>
      <c r="B315" s="2" t="s">
        <v>514</v>
      </c>
      <c r="C315" s="2" t="s">
        <v>1173</v>
      </c>
      <c r="D315" s="2" t="s">
        <v>103</v>
      </c>
      <c r="E315" s="2" t="s">
        <v>1404</v>
      </c>
    </row>
    <row r="316" customFormat="false" ht="15" hidden="false" customHeight="false" outlineLevel="0" collapsed="false">
      <c r="A316" s="2" t="n">
        <v>315</v>
      </c>
      <c r="B316" s="2" t="s">
        <v>514</v>
      </c>
      <c r="C316" s="2" t="s">
        <v>1173</v>
      </c>
      <c r="D316" s="2" t="s">
        <v>556</v>
      </c>
      <c r="E316" s="2" t="s">
        <v>1404</v>
      </c>
    </row>
    <row r="317" customFormat="false" ht="15" hidden="false" customHeight="false" outlineLevel="0" collapsed="false">
      <c r="A317" s="2" t="n">
        <v>316</v>
      </c>
      <c r="B317" s="2" t="s">
        <v>514</v>
      </c>
      <c r="C317" s="2" t="s">
        <v>1173</v>
      </c>
      <c r="D317" s="2" t="s">
        <v>557</v>
      </c>
      <c r="E317" s="2" t="s">
        <v>1405</v>
      </c>
    </row>
    <row r="318" customFormat="false" ht="15" hidden="false" customHeight="false" outlineLevel="0" collapsed="false">
      <c r="A318" s="2" t="n">
        <v>317</v>
      </c>
      <c r="B318" s="2" t="s">
        <v>514</v>
      </c>
      <c r="C318" s="2" t="s">
        <v>1151</v>
      </c>
      <c r="D318" s="2" t="s">
        <v>558</v>
      </c>
      <c r="E318" s="2" t="s">
        <v>1406</v>
      </c>
    </row>
    <row r="319" customFormat="false" ht="15" hidden="false" customHeight="false" outlineLevel="0" collapsed="false">
      <c r="A319" s="2" t="n">
        <v>318</v>
      </c>
      <c r="B319" s="2" t="s">
        <v>514</v>
      </c>
      <c r="C319" s="2" t="s">
        <v>1153</v>
      </c>
      <c r="D319" s="2" t="s">
        <v>560</v>
      </c>
      <c r="E319" s="2" t="s">
        <v>1407</v>
      </c>
    </row>
    <row r="320" customFormat="false" ht="15" hidden="false" customHeight="false" outlineLevel="0" collapsed="false">
      <c r="A320" s="2" t="n">
        <v>319</v>
      </c>
      <c r="B320" s="2" t="s">
        <v>514</v>
      </c>
      <c r="C320" s="2" t="s">
        <v>1151</v>
      </c>
      <c r="D320" s="2" t="s">
        <v>562</v>
      </c>
      <c r="E320" s="2" t="s">
        <v>1408</v>
      </c>
    </row>
    <row r="321" customFormat="false" ht="15" hidden="false" customHeight="false" outlineLevel="0" collapsed="false">
      <c r="A321" s="2" t="n">
        <v>320</v>
      </c>
      <c r="B321" s="2" t="s">
        <v>565</v>
      </c>
      <c r="C321" s="2" t="s">
        <v>1151</v>
      </c>
      <c r="D321" s="2" t="s">
        <v>6</v>
      </c>
      <c r="E321" s="2" t="s">
        <v>1409</v>
      </c>
    </row>
    <row r="322" customFormat="false" ht="15" hidden="false" customHeight="false" outlineLevel="0" collapsed="false">
      <c r="A322" s="2" t="n">
        <v>321</v>
      </c>
      <c r="B322" s="2" t="s">
        <v>565</v>
      </c>
      <c r="C322" s="2" t="s">
        <v>1151</v>
      </c>
      <c r="D322" s="2" t="s">
        <v>12</v>
      </c>
      <c r="E322" s="2" t="s">
        <v>1410</v>
      </c>
    </row>
    <row r="323" customFormat="false" ht="15" hidden="false" customHeight="false" outlineLevel="0" collapsed="false">
      <c r="A323" s="2" t="n">
        <v>322</v>
      </c>
      <c r="B323" s="2" t="s">
        <v>565</v>
      </c>
      <c r="C323" s="2" t="s">
        <v>1151</v>
      </c>
      <c r="D323" s="2" t="s">
        <v>27</v>
      </c>
      <c r="E323" s="2" t="s">
        <v>1411</v>
      </c>
    </row>
    <row r="324" customFormat="false" ht="15" hidden="false" customHeight="false" outlineLevel="0" collapsed="false">
      <c r="A324" s="2" t="n">
        <v>323</v>
      </c>
      <c r="B324" s="2" t="s">
        <v>565</v>
      </c>
      <c r="C324" s="2" t="s">
        <v>1151</v>
      </c>
      <c r="D324" s="2" t="s">
        <v>22</v>
      </c>
      <c r="E324" s="2" t="s">
        <v>1412</v>
      </c>
    </row>
    <row r="325" customFormat="false" ht="15" hidden="false" customHeight="false" outlineLevel="0" collapsed="false">
      <c r="A325" s="2" t="n">
        <v>324</v>
      </c>
      <c r="B325" s="2" t="s">
        <v>565</v>
      </c>
      <c r="C325" s="2" t="s">
        <v>1151</v>
      </c>
      <c r="D325" s="2" t="s">
        <v>24</v>
      </c>
      <c r="E325" s="2" t="s">
        <v>1413</v>
      </c>
    </row>
    <row r="326" customFormat="false" ht="15" hidden="false" customHeight="false" outlineLevel="0" collapsed="false">
      <c r="A326" s="2" t="n">
        <v>325</v>
      </c>
      <c r="B326" s="2" t="s">
        <v>565</v>
      </c>
      <c r="C326" s="2" t="s">
        <v>1151</v>
      </c>
      <c r="D326" s="2" t="s">
        <v>26</v>
      </c>
      <c r="E326" s="2" t="s">
        <v>1414</v>
      </c>
    </row>
    <row r="327" customFormat="false" ht="15" hidden="false" customHeight="false" outlineLevel="0" collapsed="false">
      <c r="A327" s="2" t="n">
        <v>326</v>
      </c>
      <c r="B327" s="2" t="s">
        <v>565</v>
      </c>
      <c r="C327" s="2" t="s">
        <v>1151</v>
      </c>
      <c r="D327" s="2" t="s">
        <v>16</v>
      </c>
      <c r="E327" s="2" t="s">
        <v>1415</v>
      </c>
    </row>
    <row r="328" customFormat="false" ht="15" hidden="false" customHeight="false" outlineLevel="0" collapsed="false">
      <c r="A328" s="2" t="n">
        <v>327</v>
      </c>
      <c r="B328" s="2" t="s">
        <v>565</v>
      </c>
      <c r="C328" s="2" t="s">
        <v>1151</v>
      </c>
      <c r="D328" s="2" t="s">
        <v>20</v>
      </c>
      <c r="E328" s="2" t="s">
        <v>1416</v>
      </c>
    </row>
    <row r="329" customFormat="false" ht="15" hidden="false" customHeight="false" outlineLevel="0" collapsed="false">
      <c r="A329" s="2" t="n">
        <v>328</v>
      </c>
      <c r="B329" s="2" t="s">
        <v>565</v>
      </c>
      <c r="C329" s="2" t="s">
        <v>1153</v>
      </c>
      <c r="D329" s="2" t="s">
        <v>18</v>
      </c>
      <c r="E329" s="2" t="s">
        <v>1417</v>
      </c>
    </row>
    <row r="330" customFormat="false" ht="15" hidden="false" customHeight="false" outlineLevel="0" collapsed="false">
      <c r="A330" s="2" t="n">
        <v>329</v>
      </c>
      <c r="B330" s="2" t="s">
        <v>565</v>
      </c>
      <c r="C330" s="2" t="s">
        <v>1151</v>
      </c>
      <c r="D330" s="2" t="s">
        <v>40</v>
      </c>
      <c r="E330" s="2" t="s">
        <v>1418</v>
      </c>
    </row>
    <row r="331" customFormat="false" ht="15" hidden="false" customHeight="false" outlineLevel="0" collapsed="false">
      <c r="A331" s="2" t="n">
        <v>330</v>
      </c>
      <c r="B331" s="2" t="s">
        <v>565</v>
      </c>
      <c r="C331" s="2" t="s">
        <v>1151</v>
      </c>
      <c r="D331" s="2" t="s">
        <v>55</v>
      </c>
      <c r="E331" s="2" t="s">
        <v>1419</v>
      </c>
    </row>
    <row r="332" customFormat="false" ht="15" hidden="false" customHeight="false" outlineLevel="0" collapsed="false">
      <c r="A332" s="2" t="n">
        <v>331</v>
      </c>
      <c r="B332" s="2" t="s">
        <v>565</v>
      </c>
      <c r="C332" s="2" t="s">
        <v>1151</v>
      </c>
      <c r="D332" s="2" t="s">
        <v>57</v>
      </c>
      <c r="E332" s="2" t="s">
        <v>1420</v>
      </c>
    </row>
    <row r="333" customFormat="false" ht="15" hidden="false" customHeight="false" outlineLevel="0" collapsed="false">
      <c r="A333" s="2" t="n">
        <v>332</v>
      </c>
      <c r="B333" s="2" t="s">
        <v>565</v>
      </c>
      <c r="C333" s="2" t="s">
        <v>1173</v>
      </c>
      <c r="D333" s="2" t="s">
        <v>575</v>
      </c>
      <c r="E333" s="2" t="s">
        <v>1421</v>
      </c>
    </row>
    <row r="334" customFormat="false" ht="15" hidden="false" customHeight="false" outlineLevel="0" collapsed="false">
      <c r="A334" s="2" t="n">
        <v>333</v>
      </c>
      <c r="B334" s="2" t="s">
        <v>565</v>
      </c>
      <c r="C334" s="2" t="s">
        <v>1173</v>
      </c>
      <c r="D334" s="2" t="s">
        <v>62</v>
      </c>
      <c r="E334" s="2" t="s">
        <v>1422</v>
      </c>
    </row>
    <row r="335" customFormat="false" ht="15" hidden="false" customHeight="false" outlineLevel="0" collapsed="false">
      <c r="A335" s="2" t="n">
        <v>334</v>
      </c>
      <c r="B335" s="2" t="s">
        <v>565</v>
      </c>
      <c r="C335" s="2" t="s">
        <v>1173</v>
      </c>
      <c r="D335" s="2" t="s">
        <v>58</v>
      </c>
      <c r="E335" s="2" t="s">
        <v>1423</v>
      </c>
    </row>
    <row r="336" customFormat="false" ht="15" hidden="false" customHeight="false" outlineLevel="0" collapsed="false">
      <c r="A336" s="2" t="n">
        <v>335</v>
      </c>
      <c r="B336" s="2" t="s">
        <v>565</v>
      </c>
      <c r="C336" s="2" t="s">
        <v>1173</v>
      </c>
      <c r="D336" s="2" t="s">
        <v>60</v>
      </c>
      <c r="E336" s="2" t="s">
        <v>1423</v>
      </c>
    </row>
    <row r="337" customFormat="false" ht="15" hidden="false" customHeight="false" outlineLevel="0" collapsed="false">
      <c r="A337" s="2" t="n">
        <v>336</v>
      </c>
      <c r="B337" s="2" t="s">
        <v>565</v>
      </c>
      <c r="C337" s="2" t="s">
        <v>1173</v>
      </c>
      <c r="D337" s="2" t="s">
        <v>61</v>
      </c>
      <c r="E337" s="2" t="s">
        <v>1423</v>
      </c>
    </row>
    <row r="338" customFormat="false" ht="15" hidden="false" customHeight="false" outlineLevel="0" collapsed="false">
      <c r="A338" s="2" t="n">
        <v>337</v>
      </c>
      <c r="B338" s="2" t="s">
        <v>565</v>
      </c>
      <c r="C338" s="2" t="s">
        <v>1173</v>
      </c>
      <c r="D338" s="2" t="s">
        <v>578</v>
      </c>
      <c r="E338" s="2" t="s">
        <v>1424</v>
      </c>
    </row>
    <row r="339" customFormat="false" ht="15" hidden="false" customHeight="false" outlineLevel="0" collapsed="false">
      <c r="A339" s="2" t="n">
        <v>338</v>
      </c>
      <c r="B339" s="2" t="s">
        <v>565</v>
      </c>
      <c r="C339" s="2" t="s">
        <v>1151</v>
      </c>
      <c r="D339" s="2" t="s">
        <v>82</v>
      </c>
      <c r="E339" s="2" t="s">
        <v>1225</v>
      </c>
    </row>
    <row r="340" customFormat="false" ht="15" hidden="false" customHeight="false" outlineLevel="0" collapsed="false">
      <c r="A340" s="2" t="n">
        <v>339</v>
      </c>
      <c r="B340" s="2" t="s">
        <v>565</v>
      </c>
      <c r="C340" s="2" t="s">
        <v>1151</v>
      </c>
      <c r="D340" s="2" t="s">
        <v>580</v>
      </c>
      <c r="E340" s="2" t="s">
        <v>1425</v>
      </c>
    </row>
    <row r="341" customFormat="false" ht="15" hidden="false" customHeight="false" outlineLevel="0" collapsed="false">
      <c r="A341" s="2" t="n">
        <v>340</v>
      </c>
      <c r="B341" s="2" t="s">
        <v>565</v>
      </c>
      <c r="C341" s="2" t="s">
        <v>1151</v>
      </c>
      <c r="D341" s="2" t="s">
        <v>114</v>
      </c>
      <c r="E341" s="2" t="s">
        <v>1426</v>
      </c>
    </row>
    <row r="342" customFormat="false" ht="15" hidden="false" customHeight="false" outlineLevel="0" collapsed="false">
      <c r="A342" s="2" t="n">
        <v>341</v>
      </c>
      <c r="B342" s="2" t="s">
        <v>565</v>
      </c>
      <c r="C342" s="2" t="s">
        <v>1153</v>
      </c>
      <c r="D342" s="2" t="s">
        <v>583</v>
      </c>
      <c r="E342" s="2" t="s">
        <v>1427</v>
      </c>
    </row>
    <row r="343" customFormat="false" ht="15" hidden="false" customHeight="false" outlineLevel="0" collapsed="false">
      <c r="A343" s="2" t="n">
        <v>342</v>
      </c>
      <c r="B343" s="2" t="s">
        <v>565</v>
      </c>
      <c r="C343" s="2" t="s">
        <v>1153</v>
      </c>
      <c r="D343" s="2" t="s">
        <v>585</v>
      </c>
      <c r="E343" s="2" t="s">
        <v>1428</v>
      </c>
    </row>
    <row r="344" customFormat="false" ht="15" hidden="false" customHeight="false" outlineLevel="0" collapsed="false">
      <c r="A344" s="2" t="n">
        <v>343</v>
      </c>
      <c r="B344" s="2" t="s">
        <v>565</v>
      </c>
      <c r="C344" s="2" t="s">
        <v>1151</v>
      </c>
      <c r="D344" s="2" t="s">
        <v>211</v>
      </c>
      <c r="E344" s="2" t="s">
        <v>1415</v>
      </c>
    </row>
    <row r="345" customFormat="false" ht="15" hidden="false" customHeight="false" outlineLevel="0" collapsed="false">
      <c r="A345" s="2" t="n">
        <v>344</v>
      </c>
      <c r="B345" s="2" t="s">
        <v>565</v>
      </c>
      <c r="C345" s="2" t="s">
        <v>1151</v>
      </c>
      <c r="D345" s="2" t="s">
        <v>588</v>
      </c>
      <c r="E345" s="2" t="s">
        <v>1429</v>
      </c>
    </row>
    <row r="346" customFormat="false" ht="15" hidden="false" customHeight="false" outlineLevel="0" collapsed="false">
      <c r="A346" s="2" t="n">
        <v>345</v>
      </c>
      <c r="B346" s="2" t="s">
        <v>565</v>
      </c>
      <c r="C346" s="2" t="s">
        <v>1153</v>
      </c>
      <c r="D346" s="2" t="s">
        <v>590</v>
      </c>
      <c r="E346" s="2" t="s">
        <v>1430</v>
      </c>
    </row>
    <row r="347" customFormat="false" ht="15" hidden="false" customHeight="false" outlineLevel="0" collapsed="false">
      <c r="A347" s="2" t="n">
        <v>346</v>
      </c>
      <c r="B347" s="2" t="s">
        <v>565</v>
      </c>
      <c r="C347" s="2" t="s">
        <v>1151</v>
      </c>
      <c r="D347" s="2" t="s">
        <v>592</v>
      </c>
      <c r="E347" s="2" t="s">
        <v>1431</v>
      </c>
    </row>
    <row r="348" customFormat="false" ht="15" hidden="false" customHeight="false" outlineLevel="0" collapsed="false">
      <c r="A348" s="2" t="n">
        <v>347</v>
      </c>
      <c r="B348" s="2" t="s">
        <v>565</v>
      </c>
      <c r="C348" s="2" t="s">
        <v>1151</v>
      </c>
      <c r="D348" s="2" t="s">
        <v>594</v>
      </c>
      <c r="E348" s="2" t="s">
        <v>1432</v>
      </c>
    </row>
    <row r="349" customFormat="false" ht="15" hidden="false" customHeight="false" outlineLevel="0" collapsed="false">
      <c r="A349" s="2" t="n">
        <v>348</v>
      </c>
      <c r="B349" s="2" t="s">
        <v>565</v>
      </c>
      <c r="C349" s="2" t="s">
        <v>1151</v>
      </c>
      <c r="D349" s="2" t="s">
        <v>596</v>
      </c>
      <c r="E349" s="2" t="s">
        <v>1433</v>
      </c>
    </row>
    <row r="350" customFormat="false" ht="15" hidden="false" customHeight="false" outlineLevel="0" collapsed="false">
      <c r="A350" s="2" t="n">
        <v>349</v>
      </c>
      <c r="B350" s="2" t="s">
        <v>565</v>
      </c>
      <c r="C350" s="2" t="s">
        <v>1153</v>
      </c>
      <c r="D350" s="2" t="s">
        <v>598</v>
      </c>
      <c r="E350" s="2" t="s">
        <v>1434</v>
      </c>
    </row>
    <row r="351" customFormat="false" ht="15" hidden="false" customHeight="false" outlineLevel="0" collapsed="false">
      <c r="A351" s="2" t="n">
        <v>350</v>
      </c>
      <c r="B351" s="2" t="s">
        <v>565</v>
      </c>
      <c r="C351" s="2" t="s">
        <v>1173</v>
      </c>
      <c r="D351" s="2" t="s">
        <v>600</v>
      </c>
      <c r="E351" s="2" t="s">
        <v>1435</v>
      </c>
    </row>
    <row r="352" customFormat="false" ht="15" hidden="false" customHeight="false" outlineLevel="0" collapsed="false">
      <c r="A352" s="2" t="n">
        <v>351</v>
      </c>
      <c r="B352" s="2" t="s">
        <v>565</v>
      </c>
      <c r="C352" s="2" t="s">
        <v>1173</v>
      </c>
      <c r="D352" s="2" t="s">
        <v>602</v>
      </c>
      <c r="E352" s="2" t="s">
        <v>1436</v>
      </c>
    </row>
    <row r="353" customFormat="false" ht="15" hidden="false" customHeight="false" outlineLevel="0" collapsed="false">
      <c r="A353" s="2" t="n">
        <v>352</v>
      </c>
      <c r="B353" s="2" t="s">
        <v>565</v>
      </c>
      <c r="C353" s="2" t="s">
        <v>1173</v>
      </c>
      <c r="D353" s="2" t="s">
        <v>604</v>
      </c>
      <c r="E353" s="2" t="s">
        <v>1437</v>
      </c>
    </row>
    <row r="354" customFormat="false" ht="15" hidden="false" customHeight="false" outlineLevel="0" collapsed="false">
      <c r="A354" s="2" t="n">
        <v>353</v>
      </c>
      <c r="B354" s="2" t="s">
        <v>608</v>
      </c>
      <c r="C354" s="2" t="s">
        <v>1151</v>
      </c>
      <c r="D354" s="2" t="s">
        <v>6</v>
      </c>
      <c r="E354" s="2" t="s">
        <v>1438</v>
      </c>
    </row>
    <row r="355" customFormat="false" ht="15" hidden="false" customHeight="false" outlineLevel="0" collapsed="false">
      <c r="A355" s="2" t="n">
        <v>354</v>
      </c>
      <c r="B355" s="2" t="s">
        <v>608</v>
      </c>
      <c r="C355" s="2" t="s">
        <v>1151</v>
      </c>
      <c r="D355" s="2" t="s">
        <v>12</v>
      </c>
      <c r="E355" s="2" t="s">
        <v>1439</v>
      </c>
    </row>
    <row r="356" customFormat="false" ht="15" hidden="false" customHeight="false" outlineLevel="0" collapsed="false">
      <c r="A356" s="2" t="n">
        <v>355</v>
      </c>
      <c r="B356" s="2" t="s">
        <v>608</v>
      </c>
      <c r="C356" s="2" t="s">
        <v>1151</v>
      </c>
      <c r="D356" s="2" t="s">
        <v>153</v>
      </c>
      <c r="E356" s="2" t="s">
        <v>1440</v>
      </c>
    </row>
    <row r="357" customFormat="false" ht="15" hidden="false" customHeight="false" outlineLevel="0" collapsed="false">
      <c r="A357" s="2" t="n">
        <v>356</v>
      </c>
      <c r="B357" s="2" t="s">
        <v>608</v>
      </c>
      <c r="C357" s="2" t="s">
        <v>1151</v>
      </c>
      <c r="D357" s="2" t="s">
        <v>16</v>
      </c>
      <c r="E357" s="2" t="s">
        <v>1441</v>
      </c>
    </row>
    <row r="358" customFormat="false" ht="15" hidden="false" customHeight="false" outlineLevel="0" collapsed="false">
      <c r="A358" s="2" t="n">
        <v>357</v>
      </c>
      <c r="B358" s="2" t="s">
        <v>608</v>
      </c>
      <c r="C358" s="2" t="s">
        <v>1151</v>
      </c>
      <c r="D358" s="2" t="s">
        <v>20</v>
      </c>
      <c r="E358" s="2" t="s">
        <v>1442</v>
      </c>
    </row>
    <row r="359" customFormat="false" ht="15" hidden="false" customHeight="false" outlineLevel="0" collapsed="false">
      <c r="A359" s="2" t="n">
        <v>358</v>
      </c>
      <c r="B359" s="2" t="s">
        <v>608</v>
      </c>
      <c r="C359" s="2" t="s">
        <v>1151</v>
      </c>
      <c r="D359" s="2" t="s">
        <v>18</v>
      </c>
      <c r="E359" s="2" t="s">
        <v>1443</v>
      </c>
    </row>
    <row r="360" customFormat="false" ht="15" hidden="false" customHeight="false" outlineLevel="0" collapsed="false">
      <c r="A360" s="2" t="n">
        <v>359</v>
      </c>
      <c r="B360" s="2" t="s">
        <v>608</v>
      </c>
      <c r="C360" s="2" t="s">
        <v>1151</v>
      </c>
      <c r="D360" s="2" t="s">
        <v>22</v>
      </c>
      <c r="E360" s="2" t="s">
        <v>1444</v>
      </c>
    </row>
    <row r="361" customFormat="false" ht="15" hidden="false" customHeight="false" outlineLevel="0" collapsed="false">
      <c r="A361" s="2" t="n">
        <v>360</v>
      </c>
      <c r="B361" s="2" t="s">
        <v>608</v>
      </c>
      <c r="C361" s="2" t="s">
        <v>1151</v>
      </c>
      <c r="D361" s="2" t="s">
        <v>24</v>
      </c>
      <c r="E361" s="2" t="s">
        <v>1445</v>
      </c>
    </row>
    <row r="362" customFormat="false" ht="15" hidden="false" customHeight="false" outlineLevel="0" collapsed="false">
      <c r="A362" s="2" t="n">
        <v>361</v>
      </c>
      <c r="B362" s="2" t="s">
        <v>608</v>
      </c>
      <c r="C362" s="2" t="s">
        <v>1151</v>
      </c>
      <c r="D362" s="2" t="s">
        <v>26</v>
      </c>
      <c r="E362" s="2" t="s">
        <v>1446</v>
      </c>
    </row>
    <row r="363" customFormat="false" ht="15" hidden="false" customHeight="false" outlineLevel="0" collapsed="false">
      <c r="A363" s="2" t="n">
        <v>362</v>
      </c>
      <c r="B363" s="2" t="s">
        <v>608</v>
      </c>
      <c r="C363" s="2" t="s">
        <v>1151</v>
      </c>
      <c r="D363" s="2" t="s">
        <v>27</v>
      </c>
      <c r="E363" s="2" t="s">
        <v>1447</v>
      </c>
    </row>
    <row r="364" customFormat="false" ht="15" hidden="false" customHeight="false" outlineLevel="0" collapsed="false">
      <c r="A364" s="2" t="n">
        <v>363</v>
      </c>
      <c r="B364" s="2" t="s">
        <v>608</v>
      </c>
      <c r="C364" s="2" t="s">
        <v>1151</v>
      </c>
      <c r="D364" s="2" t="s">
        <v>40</v>
      </c>
      <c r="E364" s="2" t="s">
        <v>1448</v>
      </c>
    </row>
    <row r="365" customFormat="false" ht="15" hidden="false" customHeight="false" outlineLevel="0" collapsed="false">
      <c r="A365" s="2" t="n">
        <v>364</v>
      </c>
      <c r="B365" s="2" t="s">
        <v>608</v>
      </c>
      <c r="C365" s="2" t="s">
        <v>1151</v>
      </c>
      <c r="D365" s="2" t="s">
        <v>617</v>
      </c>
      <c r="E365" s="2" t="s">
        <v>1449</v>
      </c>
    </row>
    <row r="366" customFormat="false" ht="15" hidden="false" customHeight="false" outlineLevel="0" collapsed="false">
      <c r="A366" s="2" t="n">
        <v>365</v>
      </c>
      <c r="B366" s="2" t="s">
        <v>608</v>
      </c>
      <c r="C366" s="2" t="s">
        <v>1151</v>
      </c>
      <c r="D366" s="2" t="s">
        <v>619</v>
      </c>
      <c r="E366" s="2" t="s">
        <v>1450</v>
      </c>
    </row>
    <row r="367" customFormat="false" ht="15" hidden="false" customHeight="false" outlineLevel="0" collapsed="false">
      <c r="A367" s="2" t="n">
        <v>366</v>
      </c>
      <c r="B367" s="2" t="s">
        <v>608</v>
      </c>
      <c r="C367" s="2" t="s">
        <v>1151</v>
      </c>
      <c r="D367" s="2" t="s">
        <v>620</v>
      </c>
      <c r="E367" s="2" t="s">
        <v>1450</v>
      </c>
    </row>
    <row r="368" customFormat="false" ht="15" hidden="false" customHeight="false" outlineLevel="0" collapsed="false">
      <c r="A368" s="2" t="n">
        <v>367</v>
      </c>
      <c r="B368" s="2" t="s">
        <v>608</v>
      </c>
      <c r="C368" s="2" t="s">
        <v>1151</v>
      </c>
      <c r="D368" s="2" t="s">
        <v>621</v>
      </c>
      <c r="E368" s="2" t="s">
        <v>1450</v>
      </c>
    </row>
    <row r="369" customFormat="false" ht="15" hidden="false" customHeight="false" outlineLevel="0" collapsed="false">
      <c r="A369" s="2" t="n">
        <v>368</v>
      </c>
      <c r="B369" s="2" t="s">
        <v>608</v>
      </c>
      <c r="C369" s="2" t="s">
        <v>1151</v>
      </c>
      <c r="D369" s="2" t="s">
        <v>36</v>
      </c>
      <c r="E369" s="2" t="s">
        <v>1451</v>
      </c>
    </row>
    <row r="370" customFormat="false" ht="15" hidden="false" customHeight="false" outlineLevel="0" collapsed="false">
      <c r="A370" s="2" t="n">
        <v>369</v>
      </c>
      <c r="B370" s="2" t="s">
        <v>608</v>
      </c>
      <c r="C370" s="2" t="s">
        <v>1151</v>
      </c>
      <c r="D370" s="2" t="s">
        <v>160</v>
      </c>
      <c r="E370" s="2" t="s">
        <v>1452</v>
      </c>
    </row>
    <row r="371" customFormat="false" ht="15" hidden="false" customHeight="false" outlineLevel="0" collapsed="false">
      <c r="A371" s="2" t="n">
        <v>370</v>
      </c>
      <c r="B371" s="2" t="s">
        <v>608</v>
      </c>
      <c r="C371" s="2" t="s">
        <v>1153</v>
      </c>
      <c r="D371" s="2" t="s">
        <v>344</v>
      </c>
      <c r="E371" s="2" t="s">
        <v>1453</v>
      </c>
    </row>
    <row r="372" customFormat="false" ht="15" hidden="false" customHeight="false" outlineLevel="0" collapsed="false">
      <c r="A372" s="2" t="n">
        <v>371</v>
      </c>
      <c r="B372" s="2" t="s">
        <v>608</v>
      </c>
      <c r="C372" s="2" t="s">
        <v>1153</v>
      </c>
      <c r="D372" s="2" t="s">
        <v>55</v>
      </c>
      <c r="E372" s="2" t="s">
        <v>1454</v>
      </c>
    </row>
    <row r="373" customFormat="false" ht="15" hidden="false" customHeight="false" outlineLevel="0" collapsed="false">
      <c r="A373" s="2" t="n">
        <v>372</v>
      </c>
      <c r="B373" s="2" t="s">
        <v>608</v>
      </c>
      <c r="C373" s="2" t="s">
        <v>1153</v>
      </c>
      <c r="D373" s="2" t="s">
        <v>57</v>
      </c>
      <c r="E373" s="2" t="s">
        <v>1455</v>
      </c>
    </row>
    <row r="374" customFormat="false" ht="15" hidden="false" customHeight="false" outlineLevel="0" collapsed="false">
      <c r="A374" s="2" t="n">
        <v>373</v>
      </c>
      <c r="B374" s="2" t="s">
        <v>608</v>
      </c>
      <c r="C374" s="2" t="s">
        <v>1153</v>
      </c>
      <c r="D374" s="2" t="s">
        <v>626</v>
      </c>
      <c r="E374" s="2" t="s">
        <v>1456</v>
      </c>
    </row>
    <row r="375" customFormat="false" ht="15" hidden="false" customHeight="false" outlineLevel="0" collapsed="false">
      <c r="A375" s="2" t="n">
        <v>374</v>
      </c>
      <c r="B375" s="2" t="s">
        <v>608</v>
      </c>
      <c r="C375" s="2" t="s">
        <v>1153</v>
      </c>
      <c r="D375" s="2" t="s">
        <v>53</v>
      </c>
      <c r="E375" s="2" t="s">
        <v>1457</v>
      </c>
    </row>
    <row r="376" customFormat="false" ht="15" hidden="false" customHeight="false" outlineLevel="0" collapsed="false">
      <c r="A376" s="2" t="n">
        <v>375</v>
      </c>
      <c r="B376" s="2" t="s">
        <v>608</v>
      </c>
      <c r="C376" s="2" t="s">
        <v>1153</v>
      </c>
      <c r="D376" s="2" t="s">
        <v>346</v>
      </c>
      <c r="E376" s="2" t="s">
        <v>1458</v>
      </c>
    </row>
    <row r="377" customFormat="false" ht="15" hidden="false" customHeight="false" outlineLevel="0" collapsed="false">
      <c r="A377" s="2" t="n">
        <v>376</v>
      </c>
      <c r="B377" s="2" t="s">
        <v>608</v>
      </c>
      <c r="C377" s="2" t="s">
        <v>1153</v>
      </c>
      <c r="D377" s="2" t="s">
        <v>630</v>
      </c>
      <c r="E377" s="2" t="s">
        <v>1458</v>
      </c>
    </row>
    <row r="378" customFormat="false" ht="15" hidden="false" customHeight="false" outlineLevel="0" collapsed="false">
      <c r="A378" s="2" t="n">
        <v>377</v>
      </c>
      <c r="B378" s="2" t="s">
        <v>608</v>
      </c>
      <c r="C378" s="2" t="s">
        <v>1153</v>
      </c>
      <c r="D378" s="2" t="s">
        <v>631</v>
      </c>
      <c r="E378" s="2" t="s">
        <v>1459</v>
      </c>
    </row>
    <row r="379" customFormat="false" ht="15" hidden="false" customHeight="false" outlineLevel="0" collapsed="false">
      <c r="A379" s="2" t="n">
        <v>378</v>
      </c>
      <c r="B379" s="2" t="s">
        <v>608</v>
      </c>
      <c r="C379" s="2" t="s">
        <v>1153</v>
      </c>
      <c r="D379" s="2" t="s">
        <v>633</v>
      </c>
      <c r="E379" s="2" t="s">
        <v>1460</v>
      </c>
    </row>
    <row r="380" customFormat="false" ht="15" hidden="false" customHeight="false" outlineLevel="0" collapsed="false">
      <c r="A380" s="2" t="n">
        <v>379</v>
      </c>
      <c r="B380" s="2" t="s">
        <v>608</v>
      </c>
      <c r="C380" s="2" t="s">
        <v>1173</v>
      </c>
      <c r="D380" s="2" t="s">
        <v>156</v>
      </c>
      <c r="E380" s="2" t="s">
        <v>1461</v>
      </c>
    </row>
    <row r="381" customFormat="false" ht="15" hidden="false" customHeight="false" outlineLevel="0" collapsed="false">
      <c r="A381" s="2" t="n">
        <v>380</v>
      </c>
      <c r="B381" s="2" t="s">
        <v>608</v>
      </c>
      <c r="C381" s="2" t="s">
        <v>1173</v>
      </c>
      <c r="D381" s="2" t="s">
        <v>636</v>
      </c>
      <c r="E381" s="2" t="s">
        <v>1462</v>
      </c>
    </row>
    <row r="382" customFormat="false" ht="15" hidden="false" customHeight="false" outlineLevel="0" collapsed="false">
      <c r="A382" s="2" t="n">
        <v>381</v>
      </c>
      <c r="B382" s="2" t="s">
        <v>608</v>
      </c>
      <c r="C382" s="2" t="s">
        <v>1173</v>
      </c>
      <c r="D382" s="2" t="s">
        <v>638</v>
      </c>
      <c r="E382" s="2" t="s">
        <v>1463</v>
      </c>
    </row>
    <row r="383" customFormat="false" ht="15" hidden="false" customHeight="false" outlineLevel="0" collapsed="false">
      <c r="A383" s="2" t="n">
        <v>382</v>
      </c>
      <c r="B383" s="2" t="s">
        <v>608</v>
      </c>
      <c r="C383" s="2" t="s">
        <v>1173</v>
      </c>
      <c r="D383" s="2" t="s">
        <v>262</v>
      </c>
      <c r="E383" s="2" t="s">
        <v>1464</v>
      </c>
    </row>
    <row r="384" customFormat="false" ht="15" hidden="false" customHeight="false" outlineLevel="0" collapsed="false">
      <c r="A384" s="2" t="n">
        <v>383</v>
      </c>
      <c r="B384" s="2" t="s">
        <v>608</v>
      </c>
      <c r="C384" s="2" t="s">
        <v>1173</v>
      </c>
      <c r="D384" s="2" t="s">
        <v>413</v>
      </c>
      <c r="E384" s="2" t="s">
        <v>1465</v>
      </c>
    </row>
    <row r="385" customFormat="false" ht="15" hidden="false" customHeight="false" outlineLevel="0" collapsed="false">
      <c r="A385" s="2" t="n">
        <v>384</v>
      </c>
      <c r="B385" s="2" t="s">
        <v>608</v>
      </c>
      <c r="C385" s="2" t="s">
        <v>1173</v>
      </c>
      <c r="D385" s="2" t="s">
        <v>414</v>
      </c>
      <c r="E385" s="2" t="s">
        <v>1465</v>
      </c>
    </row>
    <row r="386" customFormat="false" ht="15" hidden="false" customHeight="false" outlineLevel="0" collapsed="false">
      <c r="A386" s="2" t="n">
        <v>385</v>
      </c>
      <c r="B386" s="2" t="s">
        <v>608</v>
      </c>
      <c r="C386" s="2" t="s">
        <v>1173</v>
      </c>
      <c r="D386" s="2" t="s">
        <v>575</v>
      </c>
      <c r="E386" s="2" t="s">
        <v>1465</v>
      </c>
    </row>
    <row r="387" customFormat="false" ht="15" hidden="false" customHeight="false" outlineLevel="0" collapsed="false">
      <c r="A387" s="2" t="n">
        <v>386</v>
      </c>
      <c r="B387" s="2" t="s">
        <v>608</v>
      </c>
      <c r="C387" s="2" t="s">
        <v>1173</v>
      </c>
      <c r="D387" s="2" t="s">
        <v>339</v>
      </c>
      <c r="E387" s="2" t="s">
        <v>1465</v>
      </c>
    </row>
    <row r="388" customFormat="false" ht="15" hidden="false" customHeight="false" outlineLevel="0" collapsed="false">
      <c r="A388" s="2" t="n">
        <v>387</v>
      </c>
      <c r="B388" s="2" t="s">
        <v>608</v>
      </c>
      <c r="C388" s="2" t="s">
        <v>1173</v>
      </c>
      <c r="D388" s="2" t="s">
        <v>416</v>
      </c>
      <c r="E388" s="2" t="s">
        <v>1466</v>
      </c>
    </row>
    <row r="389" customFormat="false" ht="15" hidden="false" customHeight="false" outlineLevel="0" collapsed="false">
      <c r="A389" s="2" t="n">
        <v>388</v>
      </c>
      <c r="B389" s="2" t="s">
        <v>608</v>
      </c>
      <c r="C389" s="2" t="s">
        <v>1173</v>
      </c>
      <c r="D389" s="2" t="s">
        <v>194</v>
      </c>
      <c r="E389" s="2" t="s">
        <v>1466</v>
      </c>
    </row>
    <row r="390" customFormat="false" ht="15" hidden="false" customHeight="false" outlineLevel="0" collapsed="false">
      <c r="A390" s="2" t="n">
        <v>389</v>
      </c>
      <c r="B390" s="2" t="s">
        <v>608</v>
      </c>
      <c r="C390" s="2" t="s">
        <v>1173</v>
      </c>
      <c r="D390" s="2" t="s">
        <v>335</v>
      </c>
      <c r="E390" s="2" t="s">
        <v>1467</v>
      </c>
    </row>
    <row r="391" customFormat="false" ht="15" hidden="false" customHeight="false" outlineLevel="0" collapsed="false">
      <c r="A391" s="2" t="n">
        <v>390</v>
      </c>
      <c r="B391" s="2" t="s">
        <v>608</v>
      </c>
      <c r="C391" s="2" t="s">
        <v>1173</v>
      </c>
      <c r="D391" s="2" t="s">
        <v>647</v>
      </c>
      <c r="E391" s="2" t="s">
        <v>1468</v>
      </c>
    </row>
    <row r="392" customFormat="false" ht="15" hidden="false" customHeight="false" outlineLevel="0" collapsed="false">
      <c r="A392" s="2" t="n">
        <v>391</v>
      </c>
      <c r="B392" s="2" t="s">
        <v>608</v>
      </c>
      <c r="C392" s="2" t="s">
        <v>1173</v>
      </c>
      <c r="D392" s="2" t="s">
        <v>649</v>
      </c>
      <c r="E392" s="2" t="s">
        <v>1469</v>
      </c>
    </row>
    <row r="393" customFormat="false" ht="15" hidden="false" customHeight="false" outlineLevel="0" collapsed="false">
      <c r="A393" s="2" t="n">
        <v>392</v>
      </c>
      <c r="B393" s="2" t="s">
        <v>608</v>
      </c>
      <c r="C393" s="2" t="s">
        <v>1173</v>
      </c>
      <c r="D393" s="2" t="s">
        <v>651</v>
      </c>
      <c r="E393" s="2" t="s">
        <v>1469</v>
      </c>
    </row>
    <row r="394" customFormat="false" ht="15" hidden="false" customHeight="false" outlineLevel="0" collapsed="false">
      <c r="A394" s="2" t="n">
        <v>393</v>
      </c>
      <c r="B394" s="2" t="s">
        <v>608</v>
      </c>
      <c r="C394" s="2" t="s">
        <v>1173</v>
      </c>
      <c r="D394" s="2" t="s">
        <v>652</v>
      </c>
      <c r="E394" s="2" t="s">
        <v>1469</v>
      </c>
    </row>
    <row r="395" customFormat="false" ht="15" hidden="false" customHeight="false" outlineLevel="0" collapsed="false">
      <c r="A395" s="2" t="n">
        <v>394</v>
      </c>
      <c r="B395" s="2" t="s">
        <v>608</v>
      </c>
      <c r="C395" s="2" t="s">
        <v>1173</v>
      </c>
      <c r="D395" s="2" t="s">
        <v>654</v>
      </c>
      <c r="E395" s="2" t="s">
        <v>1469</v>
      </c>
    </row>
    <row r="396" customFormat="false" ht="15" hidden="false" customHeight="false" outlineLevel="0" collapsed="false">
      <c r="A396" s="2" t="n">
        <v>395</v>
      </c>
      <c r="B396" s="2" t="s">
        <v>608</v>
      </c>
      <c r="C396" s="2" t="s">
        <v>1173</v>
      </c>
      <c r="D396" s="2" t="s">
        <v>395</v>
      </c>
      <c r="E396" s="2" t="s">
        <v>1470</v>
      </c>
    </row>
    <row r="397" customFormat="false" ht="15" hidden="false" customHeight="false" outlineLevel="0" collapsed="false">
      <c r="A397" s="2" t="n">
        <v>396</v>
      </c>
      <c r="B397" s="2" t="s">
        <v>608</v>
      </c>
      <c r="C397" s="2" t="s">
        <v>1173</v>
      </c>
      <c r="D397" s="2" t="s">
        <v>657</v>
      </c>
      <c r="E397" s="2" t="s">
        <v>1471</v>
      </c>
    </row>
    <row r="398" customFormat="false" ht="15" hidden="false" customHeight="false" outlineLevel="0" collapsed="false">
      <c r="A398" s="2" t="n">
        <v>397</v>
      </c>
      <c r="B398" s="2" t="s">
        <v>608</v>
      </c>
      <c r="C398" s="2" t="s">
        <v>1173</v>
      </c>
      <c r="D398" s="2" t="s">
        <v>659</v>
      </c>
      <c r="E398" s="2" t="s">
        <v>1472</v>
      </c>
    </row>
    <row r="399" customFormat="false" ht="15" hidden="false" customHeight="false" outlineLevel="0" collapsed="false">
      <c r="A399" s="2" t="n">
        <v>398</v>
      </c>
      <c r="B399" s="2" t="s">
        <v>608</v>
      </c>
      <c r="C399" s="2" t="s">
        <v>1173</v>
      </c>
      <c r="D399" s="2" t="s">
        <v>661</v>
      </c>
      <c r="E399" s="2" t="s">
        <v>1472</v>
      </c>
    </row>
    <row r="400" customFormat="false" ht="15" hidden="false" customHeight="false" outlineLevel="0" collapsed="false">
      <c r="A400" s="2" t="n">
        <v>399</v>
      </c>
      <c r="B400" s="2" t="s">
        <v>608</v>
      </c>
      <c r="C400" s="2" t="s">
        <v>1151</v>
      </c>
      <c r="D400" s="2" t="s">
        <v>663</v>
      </c>
      <c r="E400" s="2" t="s">
        <v>1473</v>
      </c>
    </row>
    <row r="401" customFormat="false" ht="15" hidden="false" customHeight="false" outlineLevel="0" collapsed="false">
      <c r="A401" s="2" t="n">
        <v>400</v>
      </c>
      <c r="B401" s="2" t="s">
        <v>608</v>
      </c>
      <c r="C401" s="2" t="s">
        <v>1151</v>
      </c>
      <c r="D401" s="2" t="s">
        <v>82</v>
      </c>
      <c r="E401" s="2" t="s">
        <v>1474</v>
      </c>
    </row>
    <row r="402" customFormat="false" ht="15" hidden="false" customHeight="false" outlineLevel="0" collapsed="false">
      <c r="A402" s="2" t="n">
        <v>401</v>
      </c>
      <c r="B402" s="2" t="s">
        <v>608</v>
      </c>
      <c r="C402" s="2" t="s">
        <v>1151</v>
      </c>
      <c r="D402" s="2" t="s">
        <v>665</v>
      </c>
      <c r="E402" s="2" t="s">
        <v>1475</v>
      </c>
    </row>
    <row r="403" customFormat="false" ht="15" hidden="false" customHeight="false" outlineLevel="0" collapsed="false">
      <c r="A403" s="2" t="n">
        <v>402</v>
      </c>
      <c r="B403" s="2" t="s">
        <v>608</v>
      </c>
      <c r="C403" s="2" t="s">
        <v>1151</v>
      </c>
      <c r="D403" s="2" t="s">
        <v>667</v>
      </c>
      <c r="E403" s="2" t="s">
        <v>1476</v>
      </c>
    </row>
    <row r="404" customFormat="false" ht="15" hidden="false" customHeight="false" outlineLevel="0" collapsed="false">
      <c r="A404" s="2" t="n">
        <v>403</v>
      </c>
      <c r="B404" s="2" t="s">
        <v>608</v>
      </c>
      <c r="C404" s="2" t="s">
        <v>1151</v>
      </c>
      <c r="D404" s="2" t="s">
        <v>669</v>
      </c>
      <c r="E404" s="2" t="s">
        <v>1273</v>
      </c>
    </row>
    <row r="405" customFormat="false" ht="15" hidden="false" customHeight="false" outlineLevel="0" collapsed="false">
      <c r="A405" s="2" t="n">
        <v>404</v>
      </c>
      <c r="B405" s="2" t="s">
        <v>608</v>
      </c>
      <c r="C405" s="2" t="s">
        <v>1151</v>
      </c>
      <c r="D405" s="2" t="s">
        <v>671</v>
      </c>
      <c r="E405" s="2" t="s">
        <v>1477</v>
      </c>
    </row>
    <row r="406" customFormat="false" ht="15" hidden="false" customHeight="false" outlineLevel="0" collapsed="false">
      <c r="A406" s="2" t="n">
        <v>405</v>
      </c>
      <c r="B406" s="2" t="s">
        <v>608</v>
      </c>
      <c r="C406" s="2" t="s">
        <v>1151</v>
      </c>
      <c r="D406" s="2" t="s">
        <v>673</v>
      </c>
      <c r="E406" s="2" t="s">
        <v>1478</v>
      </c>
    </row>
    <row r="407" customFormat="false" ht="15" hidden="false" customHeight="false" outlineLevel="0" collapsed="false">
      <c r="A407" s="2" t="n">
        <v>406</v>
      </c>
      <c r="B407" s="2" t="s">
        <v>608</v>
      </c>
      <c r="C407" s="2" t="s">
        <v>1151</v>
      </c>
      <c r="D407" s="2" t="s">
        <v>537</v>
      </c>
      <c r="E407" s="2" t="s">
        <v>1479</v>
      </c>
    </row>
    <row r="408" customFormat="false" ht="15" hidden="false" customHeight="false" outlineLevel="0" collapsed="false">
      <c r="A408" s="2" t="n">
        <v>407</v>
      </c>
      <c r="B408" s="2" t="s">
        <v>608</v>
      </c>
      <c r="C408" s="2" t="s">
        <v>1151</v>
      </c>
      <c r="D408" s="2" t="s">
        <v>677</v>
      </c>
      <c r="E408" s="2" t="s">
        <v>1480</v>
      </c>
    </row>
    <row r="409" customFormat="false" ht="15" hidden="false" customHeight="false" outlineLevel="0" collapsed="false">
      <c r="A409" s="2" t="n">
        <v>408</v>
      </c>
      <c r="B409" s="2" t="s">
        <v>608</v>
      </c>
      <c r="C409" s="2" t="s">
        <v>1151</v>
      </c>
      <c r="D409" s="2" t="s">
        <v>679</v>
      </c>
      <c r="E409" s="2" t="s">
        <v>1481</v>
      </c>
    </row>
    <row r="410" customFormat="false" ht="15" hidden="false" customHeight="false" outlineLevel="0" collapsed="false">
      <c r="A410" s="2" t="n">
        <v>409</v>
      </c>
      <c r="B410" s="2" t="s">
        <v>608</v>
      </c>
      <c r="C410" s="2" t="s">
        <v>1151</v>
      </c>
      <c r="D410" s="2" t="s">
        <v>681</v>
      </c>
      <c r="E410" s="2" t="s">
        <v>1482</v>
      </c>
    </row>
    <row r="411" customFormat="false" ht="15" hidden="false" customHeight="false" outlineLevel="0" collapsed="false">
      <c r="A411" s="2" t="n">
        <v>410</v>
      </c>
      <c r="B411" s="2" t="s">
        <v>608</v>
      </c>
      <c r="C411" s="2" t="s">
        <v>1151</v>
      </c>
      <c r="D411" s="2" t="s">
        <v>683</v>
      </c>
      <c r="E411" s="2" t="s">
        <v>1483</v>
      </c>
    </row>
    <row r="412" customFormat="false" ht="15" hidden="false" customHeight="false" outlineLevel="0" collapsed="false">
      <c r="A412" s="2" t="n">
        <v>411</v>
      </c>
      <c r="B412" s="2" t="s">
        <v>608</v>
      </c>
      <c r="C412" s="2" t="s">
        <v>1151</v>
      </c>
      <c r="D412" s="2" t="s">
        <v>685</v>
      </c>
      <c r="E412" s="2" t="s">
        <v>1484</v>
      </c>
    </row>
    <row r="413" customFormat="false" ht="15" hidden="false" customHeight="false" outlineLevel="0" collapsed="false">
      <c r="A413" s="2" t="n">
        <v>412</v>
      </c>
      <c r="B413" s="2" t="s">
        <v>608</v>
      </c>
      <c r="C413" s="2" t="s">
        <v>1151</v>
      </c>
      <c r="D413" s="2" t="s">
        <v>688</v>
      </c>
      <c r="E413" s="2" t="s">
        <v>1485</v>
      </c>
    </row>
    <row r="414" customFormat="false" ht="15" hidden="false" customHeight="false" outlineLevel="0" collapsed="false">
      <c r="A414" s="2" t="n">
        <v>413</v>
      </c>
      <c r="B414" s="2" t="s">
        <v>608</v>
      </c>
      <c r="C414" s="2" t="s">
        <v>1151</v>
      </c>
      <c r="D414" s="2" t="s">
        <v>690</v>
      </c>
      <c r="E414" s="2" t="s">
        <v>1486</v>
      </c>
    </row>
    <row r="415" customFormat="false" ht="15" hidden="false" customHeight="false" outlineLevel="0" collapsed="false">
      <c r="A415" s="2" t="n">
        <v>414</v>
      </c>
      <c r="B415" s="2" t="s">
        <v>608</v>
      </c>
      <c r="C415" s="2" t="s">
        <v>1151</v>
      </c>
      <c r="D415" s="2" t="s">
        <v>692</v>
      </c>
      <c r="E415" s="2" t="s">
        <v>1487</v>
      </c>
    </row>
    <row r="416" customFormat="false" ht="15" hidden="false" customHeight="false" outlineLevel="0" collapsed="false">
      <c r="A416" s="2" t="n">
        <v>415</v>
      </c>
      <c r="B416" s="2" t="s">
        <v>608</v>
      </c>
      <c r="C416" s="2" t="s">
        <v>1151</v>
      </c>
      <c r="D416" s="2" t="s">
        <v>694</v>
      </c>
      <c r="E416" s="2" t="s">
        <v>1488</v>
      </c>
    </row>
    <row r="417" customFormat="false" ht="15" hidden="false" customHeight="false" outlineLevel="0" collapsed="false">
      <c r="A417" s="2" t="n">
        <v>416</v>
      </c>
      <c r="B417" s="2" t="s">
        <v>608</v>
      </c>
      <c r="C417" s="2" t="s">
        <v>1153</v>
      </c>
      <c r="D417" s="2" t="s">
        <v>450</v>
      </c>
      <c r="E417" s="2" t="s">
        <v>1489</v>
      </c>
    </row>
    <row r="418" customFormat="false" ht="15" hidden="false" customHeight="false" outlineLevel="0" collapsed="false">
      <c r="A418" s="2" t="n">
        <v>417</v>
      </c>
      <c r="B418" s="2" t="s">
        <v>608</v>
      </c>
      <c r="C418" s="2" t="s">
        <v>1153</v>
      </c>
      <c r="D418" s="2" t="s">
        <v>697</v>
      </c>
      <c r="E418" s="2" t="s">
        <v>1490</v>
      </c>
    </row>
    <row r="419" customFormat="false" ht="15" hidden="false" customHeight="false" outlineLevel="0" collapsed="false">
      <c r="A419" s="2" t="n">
        <v>418</v>
      </c>
      <c r="B419" s="2" t="s">
        <v>608</v>
      </c>
      <c r="C419" s="2" t="s">
        <v>1153</v>
      </c>
      <c r="D419" s="2" t="s">
        <v>699</v>
      </c>
      <c r="E419" s="2" t="s">
        <v>1491</v>
      </c>
    </row>
    <row r="420" customFormat="false" ht="15" hidden="false" customHeight="false" outlineLevel="0" collapsed="false">
      <c r="A420" s="2" t="n">
        <v>419</v>
      </c>
      <c r="B420" s="2" t="s">
        <v>608</v>
      </c>
      <c r="C420" s="2" t="s">
        <v>1153</v>
      </c>
      <c r="D420" s="2" t="s">
        <v>701</v>
      </c>
      <c r="E420" s="2" t="s">
        <v>1492</v>
      </c>
    </row>
    <row r="421" customFormat="false" ht="15" hidden="false" customHeight="false" outlineLevel="0" collapsed="false">
      <c r="A421" s="2" t="n">
        <v>420</v>
      </c>
      <c r="B421" s="2" t="s">
        <v>608</v>
      </c>
      <c r="C421" s="2" t="s">
        <v>1153</v>
      </c>
      <c r="D421" s="2" t="s">
        <v>703</v>
      </c>
      <c r="E421" s="2" t="s">
        <v>1493</v>
      </c>
    </row>
    <row r="422" customFormat="false" ht="15" hidden="false" customHeight="false" outlineLevel="0" collapsed="false">
      <c r="A422" s="2" t="n">
        <v>421</v>
      </c>
      <c r="B422" s="2" t="s">
        <v>608</v>
      </c>
      <c r="C422" s="2" t="s">
        <v>1153</v>
      </c>
      <c r="D422" s="2" t="s">
        <v>705</v>
      </c>
      <c r="E422" s="2" t="s">
        <v>1494</v>
      </c>
    </row>
    <row r="423" customFormat="false" ht="15" hidden="false" customHeight="false" outlineLevel="0" collapsed="false">
      <c r="A423" s="2" t="n">
        <v>422</v>
      </c>
      <c r="B423" s="2" t="s">
        <v>608</v>
      </c>
      <c r="C423" s="2" t="s">
        <v>1173</v>
      </c>
      <c r="D423" s="2" t="s">
        <v>86</v>
      </c>
      <c r="E423" s="2" t="s">
        <v>1248</v>
      </c>
    </row>
    <row r="424" customFormat="false" ht="15" hidden="false" customHeight="false" outlineLevel="0" collapsed="false">
      <c r="A424" s="2" t="n">
        <v>423</v>
      </c>
      <c r="B424" s="2" t="s">
        <v>608</v>
      </c>
      <c r="C424" s="2" t="s">
        <v>1173</v>
      </c>
      <c r="D424" s="2" t="s">
        <v>708</v>
      </c>
      <c r="E424" s="2" t="s">
        <v>1245</v>
      </c>
    </row>
    <row r="425" customFormat="false" ht="15" hidden="false" customHeight="false" outlineLevel="0" collapsed="false">
      <c r="A425" s="2" t="n">
        <v>424</v>
      </c>
      <c r="B425" s="2" t="s">
        <v>608</v>
      </c>
      <c r="C425" s="2" t="s">
        <v>1173</v>
      </c>
      <c r="D425" s="2" t="s">
        <v>710</v>
      </c>
      <c r="E425" s="2" t="s">
        <v>1495</v>
      </c>
    </row>
    <row r="426" customFormat="false" ht="15" hidden="false" customHeight="false" outlineLevel="0" collapsed="false">
      <c r="A426" s="2" t="n">
        <v>425</v>
      </c>
      <c r="B426" s="2" t="s">
        <v>608</v>
      </c>
      <c r="C426" s="2" t="s">
        <v>1173</v>
      </c>
      <c r="D426" s="2" t="s">
        <v>712</v>
      </c>
      <c r="E426" s="2" t="s">
        <v>1496</v>
      </c>
    </row>
    <row r="427" customFormat="false" ht="15" hidden="false" customHeight="false" outlineLevel="0" collapsed="false">
      <c r="A427" s="2" t="n">
        <v>426</v>
      </c>
      <c r="B427" s="2" t="s">
        <v>608</v>
      </c>
      <c r="C427" s="2" t="s">
        <v>1173</v>
      </c>
      <c r="D427" s="2" t="s">
        <v>714</v>
      </c>
      <c r="E427" s="2" t="s">
        <v>1497</v>
      </c>
    </row>
    <row r="428" customFormat="false" ht="15" hidden="false" customHeight="false" outlineLevel="0" collapsed="false">
      <c r="A428" s="2" t="n">
        <v>427</v>
      </c>
      <c r="B428" s="2" t="s">
        <v>608</v>
      </c>
      <c r="C428" s="2" t="s">
        <v>1173</v>
      </c>
      <c r="D428" s="2" t="s">
        <v>716</v>
      </c>
      <c r="E428" s="2" t="s">
        <v>1497</v>
      </c>
    </row>
    <row r="429" customFormat="false" ht="15" hidden="false" customHeight="false" outlineLevel="0" collapsed="false">
      <c r="A429" s="2" t="n">
        <v>428</v>
      </c>
      <c r="B429" s="2" t="s">
        <v>608</v>
      </c>
      <c r="C429" s="2" t="s">
        <v>1173</v>
      </c>
      <c r="D429" s="2" t="s">
        <v>718</v>
      </c>
      <c r="E429" s="2" t="s">
        <v>1498</v>
      </c>
    </row>
    <row r="430" customFormat="false" ht="15" hidden="false" customHeight="false" outlineLevel="0" collapsed="false">
      <c r="A430" s="2" t="n">
        <v>429</v>
      </c>
      <c r="B430" s="2" t="s">
        <v>608</v>
      </c>
      <c r="C430" s="2" t="s">
        <v>1173</v>
      </c>
      <c r="D430" s="2" t="s">
        <v>481</v>
      </c>
      <c r="E430" s="2" t="s">
        <v>1499</v>
      </c>
    </row>
    <row r="431" customFormat="false" ht="15" hidden="false" customHeight="false" outlineLevel="0" collapsed="false">
      <c r="A431" s="2" t="n">
        <v>430</v>
      </c>
      <c r="B431" s="2" t="s">
        <v>608</v>
      </c>
      <c r="C431" s="2" t="s">
        <v>1173</v>
      </c>
      <c r="D431" s="2" t="s">
        <v>721</v>
      </c>
      <c r="E431" s="2" t="s">
        <v>1500</v>
      </c>
    </row>
    <row r="432" customFormat="false" ht="15" hidden="false" customHeight="false" outlineLevel="0" collapsed="false">
      <c r="A432" s="2" t="n">
        <v>431</v>
      </c>
      <c r="B432" s="2" t="s">
        <v>608</v>
      </c>
      <c r="C432" s="2" t="s">
        <v>1173</v>
      </c>
      <c r="D432" s="2" t="s">
        <v>723</v>
      </c>
      <c r="E432" s="2" t="s">
        <v>1501</v>
      </c>
    </row>
    <row r="433" customFormat="false" ht="15" hidden="false" customHeight="false" outlineLevel="0" collapsed="false">
      <c r="A433" s="2" t="n">
        <v>432</v>
      </c>
      <c r="B433" s="2" t="s">
        <v>608</v>
      </c>
      <c r="C433" s="2" t="s">
        <v>1173</v>
      </c>
      <c r="D433" s="2" t="s">
        <v>726</v>
      </c>
      <c r="E433" s="2" t="s">
        <v>1502</v>
      </c>
    </row>
    <row r="434" customFormat="false" ht="15" hidden="false" customHeight="false" outlineLevel="0" collapsed="false">
      <c r="A434" s="2" t="n">
        <v>433</v>
      </c>
      <c r="B434" s="2" t="s">
        <v>608</v>
      </c>
      <c r="C434" s="2" t="s">
        <v>1173</v>
      </c>
      <c r="D434" s="2" t="s">
        <v>728</v>
      </c>
      <c r="E434" s="2" t="s">
        <v>1503</v>
      </c>
    </row>
    <row r="435" customFormat="false" ht="15" hidden="false" customHeight="false" outlineLevel="0" collapsed="false">
      <c r="A435" s="2" t="n">
        <v>434</v>
      </c>
      <c r="B435" s="2" t="s">
        <v>731</v>
      </c>
      <c r="C435" s="2" t="s">
        <v>1151</v>
      </c>
      <c r="D435" s="2" t="s">
        <v>12</v>
      </c>
      <c r="E435" s="2" t="s">
        <v>1504</v>
      </c>
    </row>
    <row r="436" customFormat="false" ht="15" hidden="false" customHeight="false" outlineLevel="0" collapsed="false">
      <c r="A436" s="2" t="n">
        <v>435</v>
      </c>
      <c r="B436" s="2" t="s">
        <v>731</v>
      </c>
      <c r="C436" s="2" t="s">
        <v>1151</v>
      </c>
      <c r="D436" s="2" t="s">
        <v>6</v>
      </c>
      <c r="E436" s="2" t="s">
        <v>1505</v>
      </c>
    </row>
    <row r="437" customFormat="false" ht="15" hidden="false" customHeight="false" outlineLevel="0" collapsed="false">
      <c r="A437" s="2" t="n">
        <v>436</v>
      </c>
      <c r="B437" s="2" t="s">
        <v>731</v>
      </c>
      <c r="C437" s="2" t="s">
        <v>1151</v>
      </c>
      <c r="D437" s="2" t="s">
        <v>20</v>
      </c>
      <c r="E437" s="2" t="s">
        <v>1506</v>
      </c>
    </row>
    <row r="438" customFormat="false" ht="15" hidden="false" customHeight="false" outlineLevel="0" collapsed="false">
      <c r="A438" s="2" t="n">
        <v>437</v>
      </c>
      <c r="B438" s="2" t="s">
        <v>731</v>
      </c>
      <c r="C438" s="2" t="s">
        <v>1151</v>
      </c>
      <c r="D438" s="2" t="s">
        <v>18</v>
      </c>
      <c r="E438" s="2" t="s">
        <v>1507</v>
      </c>
    </row>
    <row r="439" customFormat="false" ht="15" hidden="false" customHeight="false" outlineLevel="0" collapsed="false">
      <c r="A439" s="2" t="n">
        <v>438</v>
      </c>
      <c r="B439" s="2" t="s">
        <v>731</v>
      </c>
      <c r="C439" s="2" t="s">
        <v>1151</v>
      </c>
      <c r="D439" s="2" t="s">
        <v>22</v>
      </c>
      <c r="E439" s="2" t="s">
        <v>1508</v>
      </c>
    </row>
    <row r="440" customFormat="false" ht="15" hidden="false" customHeight="false" outlineLevel="0" collapsed="false">
      <c r="A440" s="2" t="n">
        <v>439</v>
      </c>
      <c r="B440" s="2" t="s">
        <v>731</v>
      </c>
      <c r="C440" s="2" t="s">
        <v>1151</v>
      </c>
      <c r="D440" s="2" t="s">
        <v>24</v>
      </c>
      <c r="E440" s="2" t="s">
        <v>1509</v>
      </c>
    </row>
    <row r="441" customFormat="false" ht="15" hidden="false" customHeight="false" outlineLevel="0" collapsed="false">
      <c r="A441" s="2" t="n">
        <v>440</v>
      </c>
      <c r="B441" s="2" t="s">
        <v>731</v>
      </c>
      <c r="C441" s="2" t="s">
        <v>1151</v>
      </c>
      <c r="D441" s="2" t="s">
        <v>26</v>
      </c>
      <c r="E441" s="2" t="s">
        <v>1510</v>
      </c>
    </row>
    <row r="442" customFormat="false" ht="15" hidden="false" customHeight="false" outlineLevel="0" collapsed="false">
      <c r="A442" s="2" t="n">
        <v>441</v>
      </c>
      <c r="B442" s="2" t="s">
        <v>731</v>
      </c>
      <c r="C442" s="2" t="s">
        <v>1151</v>
      </c>
      <c r="D442" s="2" t="s">
        <v>27</v>
      </c>
      <c r="E442" s="2" t="s">
        <v>1511</v>
      </c>
    </row>
    <row r="443" customFormat="false" ht="15" hidden="false" customHeight="false" outlineLevel="0" collapsed="false">
      <c r="A443" s="2" t="n">
        <v>442</v>
      </c>
      <c r="B443" s="2" t="s">
        <v>731</v>
      </c>
      <c r="C443" s="2" t="s">
        <v>1153</v>
      </c>
      <c r="D443" s="2" t="s">
        <v>14</v>
      </c>
      <c r="E443" s="2" t="s">
        <v>1512</v>
      </c>
    </row>
    <row r="444" customFormat="false" ht="15" hidden="false" customHeight="false" outlineLevel="0" collapsed="false">
      <c r="A444" s="2" t="n">
        <v>443</v>
      </c>
      <c r="B444" s="2" t="s">
        <v>731</v>
      </c>
      <c r="C444" s="2" t="s">
        <v>1151</v>
      </c>
      <c r="D444" s="2" t="s">
        <v>739</v>
      </c>
      <c r="E444" s="2" t="s">
        <v>1513</v>
      </c>
    </row>
    <row r="445" customFormat="false" ht="15" hidden="false" customHeight="false" outlineLevel="0" collapsed="false">
      <c r="A445" s="2" t="n">
        <v>444</v>
      </c>
      <c r="B445" s="2" t="s">
        <v>731</v>
      </c>
      <c r="C445" s="2" t="s">
        <v>1151</v>
      </c>
      <c r="D445" s="2" t="s">
        <v>155</v>
      </c>
      <c r="E445" s="2" t="s">
        <v>1514</v>
      </c>
    </row>
    <row r="446" customFormat="false" ht="15" hidden="false" customHeight="false" outlineLevel="0" collapsed="false">
      <c r="A446" s="2" t="n">
        <v>445</v>
      </c>
      <c r="B446" s="2" t="s">
        <v>731</v>
      </c>
      <c r="C446" s="2" t="s">
        <v>1151</v>
      </c>
      <c r="D446" s="2" t="s">
        <v>158</v>
      </c>
      <c r="E446" s="2" t="s">
        <v>1513</v>
      </c>
    </row>
    <row r="447" customFormat="false" ht="15" hidden="false" customHeight="false" outlineLevel="0" collapsed="false">
      <c r="A447" s="2" t="n">
        <v>446</v>
      </c>
      <c r="B447" s="2" t="s">
        <v>731</v>
      </c>
      <c r="C447" s="2" t="s">
        <v>1151</v>
      </c>
      <c r="D447" s="2" t="s">
        <v>160</v>
      </c>
      <c r="E447" s="2" t="s">
        <v>1515</v>
      </c>
    </row>
    <row r="448" customFormat="false" ht="15" hidden="false" customHeight="false" outlineLevel="0" collapsed="false">
      <c r="A448" s="2" t="n">
        <v>447</v>
      </c>
      <c r="B448" s="2" t="s">
        <v>731</v>
      </c>
      <c r="C448" s="2" t="s">
        <v>1151</v>
      </c>
      <c r="D448" s="2" t="s">
        <v>16</v>
      </c>
      <c r="E448" s="2" t="s">
        <v>1516</v>
      </c>
    </row>
    <row r="449" customFormat="false" ht="15" hidden="false" customHeight="false" outlineLevel="0" collapsed="false">
      <c r="A449" s="2" t="n">
        <v>448</v>
      </c>
      <c r="B449" s="2" t="s">
        <v>731</v>
      </c>
      <c r="C449" s="2" t="s">
        <v>1151</v>
      </c>
      <c r="D449" s="2" t="s">
        <v>55</v>
      </c>
      <c r="E449" s="2" t="s">
        <v>1517</v>
      </c>
    </row>
    <row r="450" customFormat="false" ht="15" hidden="false" customHeight="false" outlineLevel="0" collapsed="false">
      <c r="A450" s="2" t="n">
        <v>449</v>
      </c>
      <c r="B450" s="2" t="s">
        <v>731</v>
      </c>
      <c r="C450" s="2" t="s">
        <v>1151</v>
      </c>
      <c r="D450" s="2" t="s">
        <v>57</v>
      </c>
      <c r="E450" s="2" t="s">
        <v>1518</v>
      </c>
    </row>
    <row r="451" customFormat="false" ht="15" hidden="false" customHeight="false" outlineLevel="0" collapsed="false">
      <c r="A451" s="2" t="n">
        <v>450</v>
      </c>
      <c r="B451" s="2" t="s">
        <v>731</v>
      </c>
      <c r="C451" s="2" t="s">
        <v>1151</v>
      </c>
      <c r="D451" s="2" t="s">
        <v>58</v>
      </c>
      <c r="E451" s="2" t="s">
        <v>1519</v>
      </c>
    </row>
    <row r="452" customFormat="false" ht="15" hidden="false" customHeight="false" outlineLevel="0" collapsed="false">
      <c r="A452" s="2" t="n">
        <v>451</v>
      </c>
      <c r="B452" s="2" t="s">
        <v>731</v>
      </c>
      <c r="C452" s="2" t="s">
        <v>1151</v>
      </c>
      <c r="D452" s="2" t="s">
        <v>60</v>
      </c>
      <c r="E452" s="2" t="s">
        <v>1519</v>
      </c>
    </row>
    <row r="453" customFormat="false" ht="15" hidden="false" customHeight="false" outlineLevel="0" collapsed="false">
      <c r="A453" s="2" t="n">
        <v>452</v>
      </c>
      <c r="B453" s="2" t="s">
        <v>731</v>
      </c>
      <c r="C453" s="2" t="s">
        <v>1151</v>
      </c>
      <c r="D453" s="2" t="s">
        <v>61</v>
      </c>
      <c r="E453" s="2" t="s">
        <v>1519</v>
      </c>
    </row>
    <row r="454" customFormat="false" ht="15" hidden="false" customHeight="false" outlineLevel="0" collapsed="false">
      <c r="A454" s="2" t="n">
        <v>453</v>
      </c>
      <c r="B454" s="2" t="s">
        <v>731</v>
      </c>
      <c r="C454" s="2" t="s">
        <v>1151</v>
      </c>
      <c r="D454" s="2" t="s">
        <v>62</v>
      </c>
      <c r="E454" s="2" t="s">
        <v>1519</v>
      </c>
    </row>
    <row r="455" customFormat="false" ht="15" hidden="false" customHeight="false" outlineLevel="0" collapsed="false">
      <c r="A455" s="2" t="n">
        <v>454</v>
      </c>
      <c r="B455" s="2" t="s">
        <v>731</v>
      </c>
      <c r="C455" s="2" t="s">
        <v>1153</v>
      </c>
      <c r="D455" s="2" t="s">
        <v>522</v>
      </c>
      <c r="E455" s="2" t="s">
        <v>1520</v>
      </c>
    </row>
    <row r="456" customFormat="false" ht="15" hidden="false" customHeight="false" outlineLevel="0" collapsed="false">
      <c r="A456" s="2" t="n">
        <v>455</v>
      </c>
      <c r="B456" s="2" t="s">
        <v>731</v>
      </c>
      <c r="C456" s="2" t="s">
        <v>1151</v>
      </c>
      <c r="D456" s="2" t="s">
        <v>748</v>
      </c>
      <c r="E456" s="2" t="s">
        <v>1521</v>
      </c>
    </row>
    <row r="457" customFormat="false" ht="15" hidden="false" customHeight="false" outlineLevel="0" collapsed="false">
      <c r="A457" s="2" t="n">
        <v>456</v>
      </c>
      <c r="B457" s="2" t="s">
        <v>731</v>
      </c>
      <c r="C457" s="2" t="s">
        <v>1173</v>
      </c>
      <c r="D457" s="2" t="s">
        <v>328</v>
      </c>
      <c r="E457" s="2" t="s">
        <v>1522</v>
      </c>
    </row>
    <row r="458" customFormat="false" ht="15" hidden="false" customHeight="false" outlineLevel="0" collapsed="false">
      <c r="A458" s="2" t="n">
        <v>457</v>
      </c>
      <c r="B458" s="2" t="s">
        <v>731</v>
      </c>
      <c r="C458" s="2" t="s">
        <v>1173</v>
      </c>
      <c r="D458" s="2" t="s">
        <v>751</v>
      </c>
      <c r="E458" s="2" t="s">
        <v>1523</v>
      </c>
    </row>
    <row r="459" customFormat="false" ht="15" hidden="false" customHeight="false" outlineLevel="0" collapsed="false">
      <c r="A459" s="2" t="n">
        <v>458</v>
      </c>
      <c r="B459" s="2" t="s">
        <v>731</v>
      </c>
      <c r="C459" s="2" t="s">
        <v>1151</v>
      </c>
      <c r="D459" s="2" t="s">
        <v>82</v>
      </c>
      <c r="E459" s="2" t="s">
        <v>1524</v>
      </c>
    </row>
    <row r="460" customFormat="false" ht="15" hidden="false" customHeight="false" outlineLevel="0" collapsed="false">
      <c r="A460" s="2" t="n">
        <v>459</v>
      </c>
      <c r="B460" s="2" t="s">
        <v>731</v>
      </c>
      <c r="C460" s="2" t="s">
        <v>1151</v>
      </c>
      <c r="D460" s="2" t="s">
        <v>753</v>
      </c>
      <c r="E460" s="2" t="s">
        <v>1525</v>
      </c>
    </row>
    <row r="461" customFormat="false" ht="15" hidden="false" customHeight="false" outlineLevel="0" collapsed="false">
      <c r="A461" s="2" t="n">
        <v>460</v>
      </c>
      <c r="B461" s="2" t="s">
        <v>731</v>
      </c>
      <c r="C461" s="2" t="s">
        <v>1153</v>
      </c>
      <c r="D461" s="2" t="s">
        <v>755</v>
      </c>
      <c r="E461" s="2" t="s">
        <v>1526</v>
      </c>
    </row>
    <row r="462" customFormat="false" ht="15" hidden="false" customHeight="false" outlineLevel="0" collapsed="false">
      <c r="A462" s="2" t="n">
        <v>461</v>
      </c>
      <c r="B462" s="2" t="s">
        <v>731</v>
      </c>
      <c r="C462" s="2" t="s">
        <v>1151</v>
      </c>
      <c r="D462" s="2" t="s">
        <v>757</v>
      </c>
      <c r="E462" s="2" t="s">
        <v>1527</v>
      </c>
    </row>
    <row r="463" customFormat="false" ht="15" hidden="false" customHeight="false" outlineLevel="0" collapsed="false">
      <c r="A463" s="2" t="n">
        <v>462</v>
      </c>
      <c r="B463" s="2" t="s">
        <v>731</v>
      </c>
      <c r="C463" s="2" t="s">
        <v>1153</v>
      </c>
      <c r="D463" s="2" t="s">
        <v>759</v>
      </c>
      <c r="E463" s="2" t="s">
        <v>1528</v>
      </c>
    </row>
    <row r="464" customFormat="false" ht="15" hidden="false" customHeight="false" outlineLevel="0" collapsed="false">
      <c r="A464" s="2" t="n">
        <v>463</v>
      </c>
      <c r="B464" s="2" t="s">
        <v>731</v>
      </c>
      <c r="C464" s="2" t="s">
        <v>1151</v>
      </c>
      <c r="D464" s="2" t="s">
        <v>761</v>
      </c>
      <c r="E464" s="2" t="s">
        <v>1529</v>
      </c>
    </row>
    <row r="465" customFormat="false" ht="15" hidden="false" customHeight="false" outlineLevel="0" collapsed="false">
      <c r="A465" s="2" t="n">
        <v>464</v>
      </c>
      <c r="B465" s="2" t="s">
        <v>731</v>
      </c>
      <c r="C465" s="2" t="s">
        <v>1151</v>
      </c>
      <c r="D465" s="2" t="s">
        <v>763</v>
      </c>
      <c r="E465" s="2" t="s">
        <v>1530</v>
      </c>
    </row>
    <row r="466" customFormat="false" ht="15" hidden="false" customHeight="false" outlineLevel="0" collapsed="false">
      <c r="A466" s="2" t="n">
        <v>465</v>
      </c>
      <c r="B466" s="2" t="s">
        <v>731</v>
      </c>
      <c r="C466" s="2" t="s">
        <v>1151</v>
      </c>
      <c r="D466" s="2" t="s">
        <v>114</v>
      </c>
      <c r="E466" s="2" t="s">
        <v>1531</v>
      </c>
    </row>
    <row r="467" customFormat="false" ht="15" hidden="false" customHeight="false" outlineLevel="0" collapsed="false">
      <c r="A467" s="2" t="n">
        <v>466</v>
      </c>
      <c r="B467" s="2" t="s">
        <v>731</v>
      </c>
      <c r="C467" s="2" t="s">
        <v>1151</v>
      </c>
      <c r="D467" s="2" t="s">
        <v>86</v>
      </c>
      <c r="E467" s="2" t="s">
        <v>1532</v>
      </c>
    </row>
    <row r="468" customFormat="false" ht="15" hidden="false" customHeight="false" outlineLevel="0" collapsed="false">
      <c r="A468" s="2" t="n">
        <v>467</v>
      </c>
      <c r="B468" s="2" t="s">
        <v>731</v>
      </c>
      <c r="C468" s="2" t="s">
        <v>1151</v>
      </c>
      <c r="D468" s="2" t="s">
        <v>767</v>
      </c>
      <c r="E468" s="2" t="s">
        <v>1514</v>
      </c>
    </row>
    <row r="469" customFormat="false" ht="15" hidden="false" customHeight="false" outlineLevel="0" collapsed="false">
      <c r="A469" s="2" t="n">
        <v>468</v>
      </c>
      <c r="B469" s="2" t="s">
        <v>731</v>
      </c>
      <c r="C469" s="2" t="s">
        <v>1151</v>
      </c>
      <c r="D469" s="2" t="s">
        <v>769</v>
      </c>
      <c r="E469" s="2" t="s">
        <v>1533</v>
      </c>
    </row>
    <row r="470" customFormat="false" ht="15" hidden="false" customHeight="false" outlineLevel="0" collapsed="false">
      <c r="A470" s="2" t="n">
        <v>469</v>
      </c>
      <c r="B470" s="2" t="s">
        <v>731</v>
      </c>
      <c r="C470" s="2" t="s">
        <v>1151</v>
      </c>
      <c r="D470" s="2" t="s">
        <v>771</v>
      </c>
      <c r="E470" s="2" t="s">
        <v>1534</v>
      </c>
    </row>
    <row r="471" customFormat="false" ht="15" hidden="false" customHeight="false" outlineLevel="0" collapsed="false">
      <c r="A471" s="2" t="n">
        <v>470</v>
      </c>
      <c r="B471" s="2" t="s">
        <v>731</v>
      </c>
      <c r="C471" s="2" t="s">
        <v>1151</v>
      </c>
      <c r="D471" s="2" t="s">
        <v>773</v>
      </c>
      <c r="E471" s="2" t="s">
        <v>1535</v>
      </c>
    </row>
    <row r="472" customFormat="false" ht="15" hidden="false" customHeight="false" outlineLevel="0" collapsed="false">
      <c r="A472" s="2" t="n">
        <v>471</v>
      </c>
      <c r="B472" s="2" t="s">
        <v>731</v>
      </c>
      <c r="C472" s="2" t="s">
        <v>1153</v>
      </c>
      <c r="D472" s="2" t="s">
        <v>458</v>
      </c>
      <c r="E472" s="2" t="s">
        <v>1536</v>
      </c>
    </row>
    <row r="473" customFormat="false" ht="15" hidden="false" customHeight="false" outlineLevel="0" collapsed="false">
      <c r="A473" s="2" t="n">
        <v>472</v>
      </c>
      <c r="B473" s="2" t="s">
        <v>731</v>
      </c>
      <c r="C473" s="2" t="s">
        <v>1151</v>
      </c>
      <c r="D473" s="2" t="s">
        <v>776</v>
      </c>
      <c r="E473" s="2" t="s">
        <v>1537</v>
      </c>
    </row>
    <row r="474" customFormat="false" ht="15" hidden="false" customHeight="false" outlineLevel="0" collapsed="false">
      <c r="A474" s="2" t="n">
        <v>473</v>
      </c>
      <c r="B474" s="2" t="s">
        <v>731</v>
      </c>
      <c r="C474" s="2" t="s">
        <v>1151</v>
      </c>
      <c r="D474" s="2" t="s">
        <v>778</v>
      </c>
      <c r="E474" s="2" t="s">
        <v>1538</v>
      </c>
    </row>
    <row r="475" customFormat="false" ht="15" hidden="false" customHeight="false" outlineLevel="0" collapsed="false">
      <c r="A475" s="2" t="n">
        <v>474</v>
      </c>
      <c r="B475" s="2" t="s">
        <v>731</v>
      </c>
      <c r="C475" s="2" t="s">
        <v>1151</v>
      </c>
      <c r="D475" s="2" t="s">
        <v>780</v>
      </c>
      <c r="E475" s="2" t="s">
        <v>1539</v>
      </c>
    </row>
    <row r="476" customFormat="false" ht="15" hidden="false" customHeight="false" outlineLevel="0" collapsed="false">
      <c r="A476" s="2" t="n">
        <v>475</v>
      </c>
      <c r="B476" s="2" t="s">
        <v>731</v>
      </c>
      <c r="C476" s="2" t="s">
        <v>1151</v>
      </c>
      <c r="D476" s="2" t="s">
        <v>782</v>
      </c>
      <c r="E476" s="2" t="s">
        <v>1540</v>
      </c>
    </row>
    <row r="477" customFormat="false" ht="15" hidden="false" customHeight="false" outlineLevel="0" collapsed="false">
      <c r="A477" s="2" t="n">
        <v>476</v>
      </c>
      <c r="B477" s="2" t="s">
        <v>731</v>
      </c>
      <c r="C477" s="2" t="s">
        <v>1151</v>
      </c>
      <c r="D477" s="2" t="s">
        <v>784</v>
      </c>
      <c r="E477" s="2" t="s">
        <v>1541</v>
      </c>
    </row>
    <row r="478" customFormat="false" ht="15" hidden="false" customHeight="false" outlineLevel="0" collapsed="false">
      <c r="A478" s="2" t="n">
        <v>477</v>
      </c>
      <c r="B478" s="2" t="s">
        <v>731</v>
      </c>
      <c r="C478" s="2" t="s">
        <v>1151</v>
      </c>
      <c r="D478" s="2" t="s">
        <v>786</v>
      </c>
      <c r="E478" s="2" t="s">
        <v>1542</v>
      </c>
    </row>
    <row r="479" customFormat="false" ht="15" hidden="false" customHeight="false" outlineLevel="0" collapsed="false">
      <c r="A479" s="2" t="n">
        <v>478</v>
      </c>
      <c r="B479" s="2" t="s">
        <v>731</v>
      </c>
      <c r="C479" s="2" t="s">
        <v>1151</v>
      </c>
      <c r="D479" s="2" t="s">
        <v>103</v>
      </c>
      <c r="E479" s="2" t="s">
        <v>1543</v>
      </c>
    </row>
    <row r="480" customFormat="false" ht="15" hidden="false" customHeight="false" outlineLevel="0" collapsed="false">
      <c r="A480" s="2" t="n">
        <v>479</v>
      </c>
      <c r="B480" s="2" t="s">
        <v>731</v>
      </c>
      <c r="C480" s="2" t="s">
        <v>1173</v>
      </c>
      <c r="D480" s="2" t="s">
        <v>249</v>
      </c>
      <c r="E480" s="2" t="s">
        <v>1544</v>
      </c>
    </row>
    <row r="481" customFormat="false" ht="15" hidden="false" customHeight="false" outlineLevel="0" collapsed="false">
      <c r="A481" s="2" t="n">
        <v>480</v>
      </c>
      <c r="B481" s="2" t="s">
        <v>731</v>
      </c>
      <c r="C481" s="2" t="s">
        <v>1173</v>
      </c>
      <c r="D481" s="2" t="s">
        <v>602</v>
      </c>
      <c r="E481" s="2" t="s">
        <v>1545</v>
      </c>
    </row>
    <row r="482" customFormat="false" ht="15" hidden="false" customHeight="false" outlineLevel="0" collapsed="false">
      <c r="A482" s="2" t="n">
        <v>481</v>
      </c>
      <c r="B482" s="2" t="s">
        <v>791</v>
      </c>
      <c r="C482" s="2" t="s">
        <v>1151</v>
      </c>
      <c r="D482" s="2" t="s">
        <v>12</v>
      </c>
      <c r="E482" s="2" t="s">
        <v>1546</v>
      </c>
    </row>
    <row r="483" customFormat="false" ht="15" hidden="false" customHeight="false" outlineLevel="0" collapsed="false">
      <c r="A483" s="2" t="n">
        <v>482</v>
      </c>
      <c r="B483" s="2" t="s">
        <v>791</v>
      </c>
      <c r="C483" s="2" t="s">
        <v>1151</v>
      </c>
      <c r="D483" s="2" t="s">
        <v>153</v>
      </c>
      <c r="E483" s="2" t="s">
        <v>1547</v>
      </c>
    </row>
    <row r="484" customFormat="false" ht="15" hidden="false" customHeight="false" outlineLevel="0" collapsed="false">
      <c r="A484" s="2" t="n">
        <v>483</v>
      </c>
      <c r="B484" s="2" t="s">
        <v>791</v>
      </c>
      <c r="C484" s="2" t="s">
        <v>1151</v>
      </c>
      <c r="D484" s="2" t="s">
        <v>6</v>
      </c>
      <c r="E484" s="2" t="s">
        <v>1548</v>
      </c>
    </row>
    <row r="485" customFormat="false" ht="15" hidden="false" customHeight="false" outlineLevel="0" collapsed="false">
      <c r="A485" s="2" t="n">
        <v>484</v>
      </c>
      <c r="B485" s="2" t="s">
        <v>791</v>
      </c>
      <c r="C485" s="2" t="s">
        <v>1151</v>
      </c>
      <c r="D485" s="2" t="s">
        <v>14</v>
      </c>
      <c r="E485" s="2" t="s">
        <v>1549</v>
      </c>
    </row>
    <row r="486" customFormat="false" ht="15" hidden="false" customHeight="false" outlineLevel="0" collapsed="false">
      <c r="A486" s="2" t="n">
        <v>485</v>
      </c>
      <c r="B486" s="2" t="s">
        <v>791</v>
      </c>
      <c r="C486" s="2" t="s">
        <v>1151</v>
      </c>
      <c r="D486" s="2" t="s">
        <v>16</v>
      </c>
      <c r="E486" s="2" t="s">
        <v>1550</v>
      </c>
    </row>
    <row r="487" customFormat="false" ht="15" hidden="false" customHeight="false" outlineLevel="0" collapsed="false">
      <c r="A487" s="2" t="n">
        <v>486</v>
      </c>
      <c r="B487" s="2" t="s">
        <v>791</v>
      </c>
      <c r="C487" s="2" t="s">
        <v>1151</v>
      </c>
      <c r="D487" s="2" t="s">
        <v>18</v>
      </c>
      <c r="E487" s="2" t="s">
        <v>1551</v>
      </c>
    </row>
    <row r="488" customFormat="false" ht="15" hidden="false" customHeight="false" outlineLevel="0" collapsed="false">
      <c r="A488" s="2" t="n">
        <v>487</v>
      </c>
      <c r="B488" s="2" t="s">
        <v>791</v>
      </c>
      <c r="C488" s="2" t="s">
        <v>1151</v>
      </c>
      <c r="D488" s="2" t="s">
        <v>20</v>
      </c>
      <c r="E488" s="2" t="s">
        <v>1552</v>
      </c>
    </row>
    <row r="489" customFormat="false" ht="15" hidden="false" customHeight="false" outlineLevel="0" collapsed="false">
      <c r="A489" s="2" t="n">
        <v>488</v>
      </c>
      <c r="B489" s="2" t="s">
        <v>791</v>
      </c>
      <c r="C489" s="2" t="s">
        <v>1151</v>
      </c>
      <c r="D489" s="2" t="s">
        <v>22</v>
      </c>
      <c r="E489" s="2" t="s">
        <v>1553</v>
      </c>
    </row>
    <row r="490" customFormat="false" ht="15" hidden="false" customHeight="false" outlineLevel="0" collapsed="false">
      <c r="A490" s="2" t="n">
        <v>489</v>
      </c>
      <c r="B490" s="2" t="s">
        <v>791</v>
      </c>
      <c r="C490" s="2" t="s">
        <v>1151</v>
      </c>
      <c r="D490" s="2" t="s">
        <v>24</v>
      </c>
      <c r="E490" s="2" t="s">
        <v>1554</v>
      </c>
    </row>
    <row r="491" customFormat="false" ht="15" hidden="false" customHeight="false" outlineLevel="0" collapsed="false">
      <c r="A491" s="2" t="n">
        <v>490</v>
      </c>
      <c r="B491" s="2" t="s">
        <v>791</v>
      </c>
      <c r="C491" s="2" t="s">
        <v>1151</v>
      </c>
      <c r="D491" s="2" t="s">
        <v>26</v>
      </c>
      <c r="E491" s="2" t="s">
        <v>1555</v>
      </c>
    </row>
    <row r="492" customFormat="false" ht="15" hidden="false" customHeight="false" outlineLevel="0" collapsed="false">
      <c r="A492" s="2" t="n">
        <v>491</v>
      </c>
      <c r="B492" s="2" t="s">
        <v>791</v>
      </c>
      <c r="C492" s="2" t="s">
        <v>1151</v>
      </c>
      <c r="D492" s="2" t="s">
        <v>27</v>
      </c>
      <c r="E492" s="2" t="s">
        <v>1556</v>
      </c>
    </row>
    <row r="493" customFormat="false" ht="15" hidden="false" customHeight="false" outlineLevel="0" collapsed="false">
      <c r="A493" s="2" t="n">
        <v>492</v>
      </c>
      <c r="B493" s="2" t="s">
        <v>791</v>
      </c>
      <c r="C493" s="2" t="s">
        <v>1151</v>
      </c>
      <c r="D493" s="2" t="s">
        <v>40</v>
      </c>
      <c r="E493" s="2" t="s">
        <v>1557</v>
      </c>
    </row>
    <row r="494" customFormat="false" ht="15" hidden="false" customHeight="false" outlineLevel="0" collapsed="false">
      <c r="A494" s="2" t="n">
        <v>493</v>
      </c>
      <c r="B494" s="2" t="s">
        <v>791</v>
      </c>
      <c r="C494" s="2" t="s">
        <v>1151</v>
      </c>
      <c r="D494" s="2" t="s">
        <v>36</v>
      </c>
      <c r="E494" s="2" t="s">
        <v>1558</v>
      </c>
    </row>
    <row r="495" customFormat="false" ht="15" hidden="false" customHeight="false" outlineLevel="0" collapsed="false">
      <c r="A495" s="2" t="n">
        <v>494</v>
      </c>
      <c r="B495" s="2" t="s">
        <v>791</v>
      </c>
      <c r="C495" s="2" t="s">
        <v>1151</v>
      </c>
      <c r="D495" s="2" t="s">
        <v>801</v>
      </c>
      <c r="E495" s="2" t="s">
        <v>1559</v>
      </c>
    </row>
    <row r="496" customFormat="false" ht="15" hidden="false" customHeight="false" outlineLevel="0" collapsed="false">
      <c r="A496" s="2" t="n">
        <v>495</v>
      </c>
      <c r="B496" s="2" t="s">
        <v>791</v>
      </c>
      <c r="C496" s="2" t="s">
        <v>1153</v>
      </c>
      <c r="D496" s="2" t="s">
        <v>262</v>
      </c>
      <c r="E496" s="2" t="s">
        <v>1560</v>
      </c>
    </row>
    <row r="497" customFormat="false" ht="15" hidden="false" customHeight="false" outlineLevel="0" collapsed="false">
      <c r="A497" s="2" t="n">
        <v>496</v>
      </c>
      <c r="B497" s="2" t="s">
        <v>791</v>
      </c>
      <c r="C497" s="2" t="s">
        <v>1153</v>
      </c>
      <c r="D497" s="2" t="s">
        <v>804</v>
      </c>
      <c r="E497" s="2" t="s">
        <v>1561</v>
      </c>
    </row>
    <row r="498" customFormat="false" ht="15" hidden="false" customHeight="false" outlineLevel="0" collapsed="false">
      <c r="A498" s="2" t="n">
        <v>497</v>
      </c>
      <c r="B498" s="2" t="s">
        <v>791</v>
      </c>
      <c r="C498" s="2" t="s">
        <v>1153</v>
      </c>
      <c r="D498" s="2" t="s">
        <v>806</v>
      </c>
      <c r="E498" s="2" t="s">
        <v>1562</v>
      </c>
    </row>
    <row r="499" customFormat="false" ht="15" hidden="false" customHeight="false" outlineLevel="0" collapsed="false">
      <c r="A499" s="2" t="n">
        <v>498</v>
      </c>
      <c r="B499" s="2" t="s">
        <v>791</v>
      </c>
      <c r="C499" s="2" t="s">
        <v>1153</v>
      </c>
      <c r="D499" s="2" t="s">
        <v>808</v>
      </c>
      <c r="E499" s="2" t="s">
        <v>1563</v>
      </c>
    </row>
    <row r="500" customFormat="false" ht="15" hidden="false" customHeight="false" outlineLevel="0" collapsed="false">
      <c r="A500" s="2" t="n">
        <v>499</v>
      </c>
      <c r="B500" s="2" t="s">
        <v>791</v>
      </c>
      <c r="C500" s="2" t="s">
        <v>1153</v>
      </c>
      <c r="D500" s="2" t="s">
        <v>809</v>
      </c>
      <c r="E500" s="2" t="s">
        <v>1563</v>
      </c>
    </row>
    <row r="501" customFormat="false" ht="15" hidden="false" customHeight="false" outlineLevel="0" collapsed="false">
      <c r="A501" s="2" t="n">
        <v>500</v>
      </c>
      <c r="B501" s="2" t="s">
        <v>791</v>
      </c>
      <c r="C501" s="2" t="s">
        <v>1153</v>
      </c>
      <c r="D501" s="2" t="s">
        <v>810</v>
      </c>
      <c r="E501" s="2" t="s">
        <v>1563</v>
      </c>
    </row>
    <row r="502" customFormat="false" ht="15" hidden="false" customHeight="false" outlineLevel="0" collapsed="false">
      <c r="A502" s="2" t="n">
        <v>501</v>
      </c>
      <c r="B502" s="2" t="s">
        <v>791</v>
      </c>
      <c r="C502" s="2" t="s">
        <v>1153</v>
      </c>
      <c r="D502" s="2" t="s">
        <v>811</v>
      </c>
      <c r="E502" s="2" t="s">
        <v>1564</v>
      </c>
    </row>
    <row r="503" customFormat="false" ht="15" hidden="false" customHeight="false" outlineLevel="0" collapsed="false">
      <c r="A503" s="2" t="n">
        <v>502</v>
      </c>
      <c r="B503" s="2" t="s">
        <v>791</v>
      </c>
      <c r="C503" s="2" t="s">
        <v>1153</v>
      </c>
      <c r="D503" s="2" t="s">
        <v>53</v>
      </c>
      <c r="E503" s="2" t="s">
        <v>1565</v>
      </c>
    </row>
    <row r="504" customFormat="false" ht="15" hidden="false" customHeight="false" outlineLevel="0" collapsed="false">
      <c r="A504" s="2" t="n">
        <v>503</v>
      </c>
      <c r="B504" s="2" t="s">
        <v>791</v>
      </c>
      <c r="C504" s="2" t="s">
        <v>1153</v>
      </c>
      <c r="D504" s="2" t="s">
        <v>29</v>
      </c>
      <c r="E504" s="2" t="s">
        <v>1566</v>
      </c>
    </row>
    <row r="505" customFormat="false" ht="15" hidden="false" customHeight="false" outlineLevel="0" collapsed="false">
      <c r="A505" s="2" t="n">
        <v>504</v>
      </c>
      <c r="B505" s="2" t="s">
        <v>791</v>
      </c>
      <c r="C505" s="2" t="s">
        <v>1153</v>
      </c>
      <c r="D505" s="2" t="s">
        <v>815</v>
      </c>
      <c r="E505" s="2" t="s">
        <v>1566</v>
      </c>
    </row>
    <row r="506" customFormat="false" ht="15" hidden="false" customHeight="false" outlineLevel="0" collapsed="false">
      <c r="A506" s="2" t="n">
        <v>505</v>
      </c>
      <c r="B506" s="2" t="s">
        <v>791</v>
      </c>
      <c r="C506" s="2" t="s">
        <v>1153</v>
      </c>
      <c r="D506" s="2" t="s">
        <v>335</v>
      </c>
      <c r="E506" s="2" t="s">
        <v>1566</v>
      </c>
    </row>
    <row r="507" customFormat="false" ht="15" hidden="false" customHeight="false" outlineLevel="0" collapsed="false">
      <c r="A507" s="2" t="n">
        <v>506</v>
      </c>
      <c r="B507" s="2" t="s">
        <v>791</v>
      </c>
      <c r="C507" s="2" t="s">
        <v>1153</v>
      </c>
      <c r="D507" s="2" t="s">
        <v>817</v>
      </c>
      <c r="E507" s="2" t="s">
        <v>1566</v>
      </c>
    </row>
    <row r="508" customFormat="false" ht="15" hidden="false" customHeight="false" outlineLevel="0" collapsed="false">
      <c r="A508" s="2" t="n">
        <v>507</v>
      </c>
      <c r="B508" s="2" t="s">
        <v>791</v>
      </c>
      <c r="C508" s="2" t="s">
        <v>1153</v>
      </c>
      <c r="D508" s="2" t="s">
        <v>819</v>
      </c>
      <c r="E508" s="2" t="s">
        <v>1566</v>
      </c>
    </row>
    <row r="509" customFormat="false" ht="15" hidden="false" customHeight="false" outlineLevel="0" collapsed="false">
      <c r="A509" s="2" t="n">
        <v>508</v>
      </c>
      <c r="B509" s="2" t="s">
        <v>791</v>
      </c>
      <c r="C509" s="2" t="s">
        <v>1153</v>
      </c>
      <c r="D509" s="2" t="s">
        <v>821</v>
      </c>
      <c r="E509" s="2" t="s">
        <v>1566</v>
      </c>
    </row>
    <row r="510" customFormat="false" ht="15" hidden="false" customHeight="false" outlineLevel="0" collapsed="false">
      <c r="A510" s="2" t="n">
        <v>509</v>
      </c>
      <c r="B510" s="2" t="s">
        <v>791</v>
      </c>
      <c r="C510" s="2" t="s">
        <v>1153</v>
      </c>
      <c r="D510" s="2" t="s">
        <v>823</v>
      </c>
      <c r="E510" s="2" t="s">
        <v>1566</v>
      </c>
    </row>
    <row r="511" customFormat="false" ht="15" hidden="false" customHeight="false" outlineLevel="0" collapsed="false">
      <c r="A511" s="2" t="n">
        <v>510</v>
      </c>
      <c r="B511" s="2" t="s">
        <v>791</v>
      </c>
      <c r="C511" s="2" t="s">
        <v>1153</v>
      </c>
      <c r="D511" s="2" t="s">
        <v>825</v>
      </c>
      <c r="E511" s="2" t="s">
        <v>1566</v>
      </c>
    </row>
    <row r="512" customFormat="false" ht="15" hidden="false" customHeight="false" outlineLevel="0" collapsed="false">
      <c r="A512" s="2" t="n">
        <v>511</v>
      </c>
      <c r="B512" s="2" t="s">
        <v>791</v>
      </c>
      <c r="C512" s="2" t="s">
        <v>1153</v>
      </c>
      <c r="D512" s="2" t="s">
        <v>349</v>
      </c>
      <c r="E512" s="2" t="s">
        <v>1566</v>
      </c>
    </row>
    <row r="513" customFormat="false" ht="15" hidden="false" customHeight="false" outlineLevel="0" collapsed="false">
      <c r="A513" s="2" t="n">
        <v>512</v>
      </c>
      <c r="B513" s="2" t="s">
        <v>791</v>
      </c>
      <c r="C513" s="2" t="s">
        <v>1153</v>
      </c>
      <c r="D513" s="2" t="s">
        <v>827</v>
      </c>
      <c r="E513" s="2" t="s">
        <v>1566</v>
      </c>
    </row>
    <row r="514" customFormat="false" ht="15" hidden="false" customHeight="false" outlineLevel="0" collapsed="false">
      <c r="A514" s="2" t="n">
        <v>513</v>
      </c>
      <c r="B514" s="2" t="s">
        <v>791</v>
      </c>
      <c r="C514" s="2" t="s">
        <v>1153</v>
      </c>
      <c r="D514" s="2" t="s">
        <v>828</v>
      </c>
      <c r="E514" s="2" t="s">
        <v>1566</v>
      </c>
    </row>
    <row r="515" customFormat="false" ht="15" hidden="false" customHeight="false" outlineLevel="0" collapsed="false">
      <c r="A515" s="2" t="n">
        <v>514</v>
      </c>
      <c r="B515" s="2" t="s">
        <v>791</v>
      </c>
      <c r="C515" s="2" t="s">
        <v>1153</v>
      </c>
      <c r="D515" s="2" t="s">
        <v>829</v>
      </c>
      <c r="E515" s="2" t="s">
        <v>1566</v>
      </c>
    </row>
    <row r="516" customFormat="false" ht="15" hidden="false" customHeight="false" outlineLevel="0" collapsed="false">
      <c r="A516" s="2" t="n">
        <v>515</v>
      </c>
      <c r="B516" s="2" t="s">
        <v>791</v>
      </c>
      <c r="C516" s="2" t="s">
        <v>1153</v>
      </c>
      <c r="D516" s="2" t="s">
        <v>831</v>
      </c>
      <c r="E516" s="2" t="s">
        <v>1566</v>
      </c>
    </row>
    <row r="517" customFormat="false" ht="15" hidden="false" customHeight="false" outlineLevel="0" collapsed="false">
      <c r="A517" s="2" t="n">
        <v>516</v>
      </c>
      <c r="B517" s="2" t="s">
        <v>791</v>
      </c>
      <c r="C517" s="2" t="s">
        <v>1173</v>
      </c>
      <c r="D517" s="2" t="s">
        <v>832</v>
      </c>
      <c r="E517" s="2" t="s">
        <v>1567</v>
      </c>
    </row>
    <row r="518" customFormat="false" ht="15" hidden="false" customHeight="false" outlineLevel="0" collapsed="false">
      <c r="A518" s="2" t="n">
        <v>517</v>
      </c>
      <c r="B518" s="2" t="s">
        <v>791</v>
      </c>
      <c r="C518" s="2" t="s">
        <v>1151</v>
      </c>
      <c r="D518" s="2" t="s">
        <v>82</v>
      </c>
      <c r="E518" s="2" t="s">
        <v>1568</v>
      </c>
    </row>
    <row r="519" customFormat="false" ht="15" hidden="false" customHeight="false" outlineLevel="0" collapsed="false">
      <c r="A519" s="2" t="n">
        <v>518</v>
      </c>
      <c r="B519" s="2" t="s">
        <v>791</v>
      </c>
      <c r="C519" s="2" t="s">
        <v>1151</v>
      </c>
      <c r="D519" s="2" t="s">
        <v>834</v>
      </c>
      <c r="E519" s="2" t="s">
        <v>1569</v>
      </c>
    </row>
    <row r="520" customFormat="false" ht="15" hidden="false" customHeight="false" outlineLevel="0" collapsed="false">
      <c r="A520" s="2" t="n">
        <v>519</v>
      </c>
      <c r="B520" s="2" t="s">
        <v>791</v>
      </c>
      <c r="C520" s="2" t="s">
        <v>1151</v>
      </c>
      <c r="D520" s="2" t="s">
        <v>836</v>
      </c>
      <c r="E520" s="2" t="s">
        <v>1570</v>
      </c>
    </row>
    <row r="521" customFormat="false" ht="15" hidden="false" customHeight="false" outlineLevel="0" collapsed="false">
      <c r="A521" s="2" t="n">
        <v>520</v>
      </c>
      <c r="B521" s="2" t="s">
        <v>791</v>
      </c>
      <c r="C521" s="2" t="s">
        <v>1151</v>
      </c>
      <c r="D521" s="2" t="s">
        <v>86</v>
      </c>
      <c r="E521" s="2" t="s">
        <v>1571</v>
      </c>
    </row>
    <row r="522" customFormat="false" ht="15" hidden="false" customHeight="false" outlineLevel="0" collapsed="false">
      <c r="A522" s="2" t="n">
        <v>521</v>
      </c>
      <c r="B522" s="2" t="s">
        <v>791</v>
      </c>
      <c r="C522" s="2" t="s">
        <v>1151</v>
      </c>
      <c r="D522" s="2" t="s">
        <v>88</v>
      </c>
      <c r="E522" s="2" t="s">
        <v>1550</v>
      </c>
    </row>
    <row r="523" customFormat="false" ht="15" hidden="false" customHeight="false" outlineLevel="0" collapsed="false">
      <c r="A523" s="2" t="n">
        <v>522</v>
      </c>
      <c r="B523" s="2" t="s">
        <v>791</v>
      </c>
      <c r="C523" s="2" t="s">
        <v>1151</v>
      </c>
      <c r="D523" s="2" t="s">
        <v>840</v>
      </c>
      <c r="E523" s="2" t="s">
        <v>1572</v>
      </c>
    </row>
    <row r="524" customFormat="false" ht="15" hidden="false" customHeight="false" outlineLevel="0" collapsed="false">
      <c r="A524" s="2" t="n">
        <v>523</v>
      </c>
      <c r="B524" s="2" t="s">
        <v>791</v>
      </c>
      <c r="C524" s="2" t="s">
        <v>1151</v>
      </c>
      <c r="D524" s="2" t="s">
        <v>842</v>
      </c>
      <c r="E524" s="2" t="s">
        <v>1573</v>
      </c>
    </row>
    <row r="525" customFormat="false" ht="15" hidden="false" customHeight="false" outlineLevel="0" collapsed="false">
      <c r="A525" s="2" t="n">
        <v>524</v>
      </c>
      <c r="B525" s="2" t="s">
        <v>791</v>
      </c>
      <c r="C525" s="2" t="s">
        <v>1151</v>
      </c>
      <c r="D525" s="2" t="s">
        <v>844</v>
      </c>
      <c r="E525" s="2" t="s">
        <v>1574</v>
      </c>
    </row>
    <row r="526" customFormat="false" ht="15" hidden="false" customHeight="false" outlineLevel="0" collapsed="false">
      <c r="A526" s="2" t="n">
        <v>525</v>
      </c>
      <c r="B526" s="2" t="s">
        <v>791</v>
      </c>
      <c r="C526" s="2" t="s">
        <v>1151</v>
      </c>
      <c r="D526" s="2" t="s">
        <v>846</v>
      </c>
      <c r="E526" s="2" t="s">
        <v>1575</v>
      </c>
    </row>
    <row r="527" customFormat="false" ht="15" hidden="false" customHeight="false" outlineLevel="0" collapsed="false">
      <c r="A527" s="2" t="n">
        <v>526</v>
      </c>
      <c r="B527" s="2" t="s">
        <v>791</v>
      </c>
      <c r="C527" s="2" t="s">
        <v>1151</v>
      </c>
      <c r="D527" s="2" t="s">
        <v>848</v>
      </c>
      <c r="E527" s="2" t="s">
        <v>1576</v>
      </c>
    </row>
    <row r="528" customFormat="false" ht="15" hidden="false" customHeight="false" outlineLevel="0" collapsed="false">
      <c r="A528" s="2" t="n">
        <v>527</v>
      </c>
      <c r="B528" s="2" t="s">
        <v>791</v>
      </c>
      <c r="C528" s="2" t="s">
        <v>1151</v>
      </c>
      <c r="D528" s="2" t="s">
        <v>850</v>
      </c>
      <c r="E528" s="2" t="s">
        <v>1577</v>
      </c>
    </row>
    <row r="529" customFormat="false" ht="15" hidden="false" customHeight="false" outlineLevel="0" collapsed="false">
      <c r="A529" s="2" t="n">
        <v>528</v>
      </c>
      <c r="B529" s="2" t="s">
        <v>791</v>
      </c>
      <c r="C529" s="2" t="s">
        <v>1151</v>
      </c>
      <c r="D529" s="2" t="s">
        <v>852</v>
      </c>
      <c r="E529" s="2" t="s">
        <v>1578</v>
      </c>
    </row>
    <row r="530" customFormat="false" ht="15" hidden="false" customHeight="false" outlineLevel="0" collapsed="false">
      <c r="A530" s="2" t="n">
        <v>529</v>
      </c>
      <c r="B530" s="2" t="s">
        <v>791</v>
      </c>
      <c r="C530" s="2" t="s">
        <v>1151</v>
      </c>
      <c r="D530" s="2" t="s">
        <v>854</v>
      </c>
      <c r="E530" s="2" t="s">
        <v>1579</v>
      </c>
    </row>
    <row r="531" customFormat="false" ht="15" hidden="false" customHeight="false" outlineLevel="0" collapsed="false">
      <c r="A531" s="2" t="n">
        <v>530</v>
      </c>
      <c r="B531" s="2" t="s">
        <v>791</v>
      </c>
      <c r="C531" s="2" t="s">
        <v>1151</v>
      </c>
      <c r="D531" s="2" t="s">
        <v>856</v>
      </c>
      <c r="E531" s="2" t="s">
        <v>1580</v>
      </c>
    </row>
    <row r="532" customFormat="false" ht="15" hidden="false" customHeight="false" outlineLevel="0" collapsed="false">
      <c r="A532" s="2" t="n">
        <v>531</v>
      </c>
      <c r="B532" s="2" t="s">
        <v>791</v>
      </c>
      <c r="C532" s="2" t="s">
        <v>1151</v>
      </c>
      <c r="D532" s="2" t="s">
        <v>857</v>
      </c>
      <c r="E532" s="2" t="s">
        <v>1581</v>
      </c>
    </row>
    <row r="533" customFormat="false" ht="15" hidden="false" customHeight="false" outlineLevel="0" collapsed="false">
      <c r="A533" s="2" t="n">
        <v>532</v>
      </c>
      <c r="B533" s="2" t="s">
        <v>791</v>
      </c>
      <c r="C533" s="2" t="s">
        <v>1151</v>
      </c>
      <c r="D533" s="2" t="s">
        <v>859</v>
      </c>
      <c r="E533" s="2" t="s">
        <v>1582</v>
      </c>
    </row>
    <row r="534" customFormat="false" ht="15" hidden="false" customHeight="false" outlineLevel="0" collapsed="false">
      <c r="A534" s="2" t="n">
        <v>533</v>
      </c>
      <c r="B534" s="2" t="s">
        <v>791</v>
      </c>
      <c r="C534" s="2" t="s">
        <v>1151</v>
      </c>
      <c r="D534" s="2" t="s">
        <v>802</v>
      </c>
      <c r="E534" s="2" t="s">
        <v>1583</v>
      </c>
    </row>
    <row r="535" customFormat="false" ht="15" hidden="false" customHeight="false" outlineLevel="0" collapsed="false">
      <c r="A535" s="2" t="n">
        <v>534</v>
      </c>
      <c r="B535" s="2" t="s">
        <v>791</v>
      </c>
      <c r="C535" s="2" t="s">
        <v>1151</v>
      </c>
      <c r="D535" s="2" t="s">
        <v>862</v>
      </c>
      <c r="E535" s="2" t="s">
        <v>1582</v>
      </c>
    </row>
    <row r="536" customFormat="false" ht="15" hidden="false" customHeight="false" outlineLevel="0" collapsed="false">
      <c r="A536" s="2" t="n">
        <v>535</v>
      </c>
      <c r="B536" s="2" t="s">
        <v>791</v>
      </c>
      <c r="C536" s="2" t="s">
        <v>1151</v>
      </c>
      <c r="D536" s="2" t="s">
        <v>864</v>
      </c>
      <c r="E536" s="2" t="s">
        <v>1584</v>
      </c>
    </row>
    <row r="537" customFormat="false" ht="15" hidden="false" customHeight="false" outlineLevel="0" collapsed="false">
      <c r="A537" s="2" t="n">
        <v>536</v>
      </c>
      <c r="B537" s="2" t="s">
        <v>791</v>
      </c>
      <c r="C537" s="2" t="s">
        <v>1151</v>
      </c>
      <c r="D537" s="2" t="s">
        <v>866</v>
      </c>
      <c r="E537" s="2" t="s">
        <v>1585</v>
      </c>
    </row>
    <row r="538" customFormat="false" ht="15" hidden="false" customHeight="false" outlineLevel="0" collapsed="false">
      <c r="A538" s="2" t="n">
        <v>537</v>
      </c>
      <c r="B538" s="2" t="s">
        <v>791</v>
      </c>
      <c r="C538" s="2" t="s">
        <v>1151</v>
      </c>
      <c r="D538" s="2" t="s">
        <v>868</v>
      </c>
      <c r="E538" s="2" t="s">
        <v>1586</v>
      </c>
    </row>
    <row r="539" customFormat="false" ht="15" hidden="false" customHeight="false" outlineLevel="0" collapsed="false">
      <c r="A539" s="2" t="n">
        <v>538</v>
      </c>
      <c r="B539" s="2" t="s">
        <v>791</v>
      </c>
      <c r="C539" s="2" t="s">
        <v>1151</v>
      </c>
      <c r="D539" s="2" t="s">
        <v>870</v>
      </c>
      <c r="E539" s="2" t="s">
        <v>1586</v>
      </c>
    </row>
    <row r="540" customFormat="false" ht="15" hidden="false" customHeight="false" outlineLevel="0" collapsed="false">
      <c r="A540" s="2" t="n">
        <v>539</v>
      </c>
      <c r="B540" s="2" t="s">
        <v>791</v>
      </c>
      <c r="C540" s="2" t="s">
        <v>1151</v>
      </c>
      <c r="D540" s="2" t="s">
        <v>872</v>
      </c>
      <c r="E540" s="2" t="s">
        <v>1587</v>
      </c>
    </row>
    <row r="541" customFormat="false" ht="15" hidden="false" customHeight="false" outlineLevel="0" collapsed="false">
      <c r="A541" s="2" t="n">
        <v>540</v>
      </c>
      <c r="B541" s="2" t="s">
        <v>791</v>
      </c>
      <c r="C541" s="2" t="s">
        <v>1153</v>
      </c>
      <c r="D541" s="2" t="s">
        <v>874</v>
      </c>
      <c r="E541" s="2" t="s">
        <v>1588</v>
      </c>
    </row>
    <row r="542" customFormat="false" ht="15" hidden="false" customHeight="false" outlineLevel="0" collapsed="false">
      <c r="A542" s="2" t="n">
        <v>541</v>
      </c>
      <c r="B542" s="2" t="s">
        <v>791</v>
      </c>
      <c r="C542" s="2" t="s">
        <v>1153</v>
      </c>
      <c r="D542" s="2" t="s">
        <v>797</v>
      </c>
      <c r="E542" s="2" t="s">
        <v>1589</v>
      </c>
    </row>
    <row r="543" customFormat="false" ht="15" hidden="false" customHeight="false" outlineLevel="0" collapsed="false">
      <c r="A543" s="2" t="n">
        <v>542</v>
      </c>
      <c r="B543" s="2" t="s">
        <v>791</v>
      </c>
      <c r="C543" s="2" t="s">
        <v>1153</v>
      </c>
      <c r="D543" s="2" t="s">
        <v>877</v>
      </c>
      <c r="E543" s="2" t="s">
        <v>1590</v>
      </c>
    </row>
    <row r="544" customFormat="false" ht="15" hidden="false" customHeight="false" outlineLevel="0" collapsed="false">
      <c r="A544" s="2" t="n">
        <v>543</v>
      </c>
      <c r="B544" s="2" t="s">
        <v>791</v>
      </c>
      <c r="C544" s="2" t="s">
        <v>1153</v>
      </c>
      <c r="D544" s="2" t="s">
        <v>879</v>
      </c>
      <c r="E544" s="2" t="s">
        <v>1591</v>
      </c>
    </row>
    <row r="545" customFormat="false" ht="15" hidden="false" customHeight="false" outlineLevel="0" collapsed="false">
      <c r="A545" s="2" t="n">
        <v>544</v>
      </c>
      <c r="B545" s="2" t="s">
        <v>791</v>
      </c>
      <c r="C545" s="2" t="s">
        <v>1153</v>
      </c>
      <c r="D545" s="2" t="s">
        <v>881</v>
      </c>
      <c r="E545" s="2" t="s">
        <v>1592</v>
      </c>
    </row>
    <row r="546" customFormat="false" ht="15" hidden="false" customHeight="false" outlineLevel="0" collapsed="false">
      <c r="A546" s="2" t="n">
        <v>545</v>
      </c>
      <c r="B546" s="2" t="s">
        <v>791</v>
      </c>
      <c r="C546" s="2" t="s">
        <v>1153</v>
      </c>
      <c r="D546" s="2" t="s">
        <v>883</v>
      </c>
      <c r="E546" s="2" t="s">
        <v>1593</v>
      </c>
    </row>
    <row r="547" customFormat="false" ht="15" hidden="false" customHeight="false" outlineLevel="0" collapsed="false">
      <c r="A547" s="2" t="n">
        <v>546</v>
      </c>
      <c r="B547" s="2" t="s">
        <v>791</v>
      </c>
      <c r="C547" s="2" t="s">
        <v>1153</v>
      </c>
      <c r="D547" s="2" t="s">
        <v>885</v>
      </c>
      <c r="E547" s="2" t="s">
        <v>1594</v>
      </c>
    </row>
    <row r="548" customFormat="false" ht="15" hidden="false" customHeight="false" outlineLevel="0" collapsed="false">
      <c r="A548" s="2" t="n">
        <v>547</v>
      </c>
      <c r="B548" s="2" t="s">
        <v>791</v>
      </c>
      <c r="C548" s="2" t="s">
        <v>1153</v>
      </c>
      <c r="D548" s="2" t="s">
        <v>887</v>
      </c>
      <c r="E548" s="2" t="s">
        <v>1595</v>
      </c>
    </row>
    <row r="549" customFormat="false" ht="15" hidden="false" customHeight="false" outlineLevel="0" collapsed="false">
      <c r="A549" s="2" t="n">
        <v>548</v>
      </c>
      <c r="B549" s="2" t="s">
        <v>791</v>
      </c>
      <c r="C549" s="2" t="s">
        <v>1153</v>
      </c>
      <c r="D549" s="2" t="s">
        <v>889</v>
      </c>
      <c r="E549" s="2" t="s">
        <v>1595</v>
      </c>
    </row>
    <row r="550" customFormat="false" ht="15" hidden="false" customHeight="false" outlineLevel="0" collapsed="false">
      <c r="A550" s="2" t="n">
        <v>549</v>
      </c>
      <c r="B550" s="2" t="s">
        <v>791</v>
      </c>
      <c r="C550" s="2" t="s">
        <v>1153</v>
      </c>
      <c r="D550" s="2" t="s">
        <v>891</v>
      </c>
      <c r="E550" s="2" t="s">
        <v>1595</v>
      </c>
    </row>
    <row r="551" customFormat="false" ht="15" hidden="false" customHeight="false" outlineLevel="0" collapsed="false">
      <c r="A551" s="2" t="n">
        <v>550</v>
      </c>
      <c r="B551" s="2" t="s">
        <v>791</v>
      </c>
      <c r="C551" s="2" t="s">
        <v>1153</v>
      </c>
      <c r="D551" s="2" t="s">
        <v>893</v>
      </c>
      <c r="E551" s="2" t="s">
        <v>1595</v>
      </c>
    </row>
    <row r="552" customFormat="false" ht="15" hidden="false" customHeight="false" outlineLevel="0" collapsed="false">
      <c r="A552" s="2" t="n">
        <v>551</v>
      </c>
      <c r="B552" s="2" t="s">
        <v>791</v>
      </c>
      <c r="C552" s="2" t="s">
        <v>1153</v>
      </c>
      <c r="D552" s="2" t="s">
        <v>895</v>
      </c>
      <c r="E552" s="2" t="s">
        <v>1595</v>
      </c>
    </row>
    <row r="553" customFormat="false" ht="15" hidden="false" customHeight="false" outlineLevel="0" collapsed="false">
      <c r="A553" s="2" t="n">
        <v>552</v>
      </c>
      <c r="B553" s="2" t="s">
        <v>791</v>
      </c>
      <c r="C553" s="2" t="s">
        <v>1153</v>
      </c>
      <c r="D553" s="2" t="s">
        <v>897</v>
      </c>
      <c r="E553" s="2" t="s">
        <v>1595</v>
      </c>
    </row>
    <row r="554" customFormat="false" ht="15" hidden="false" customHeight="false" outlineLevel="0" collapsed="false">
      <c r="A554" s="2" t="n">
        <v>553</v>
      </c>
      <c r="B554" s="2" t="s">
        <v>791</v>
      </c>
      <c r="C554" s="2" t="s">
        <v>1153</v>
      </c>
      <c r="D554" s="2" t="s">
        <v>899</v>
      </c>
      <c r="E554" s="2" t="s">
        <v>1595</v>
      </c>
    </row>
    <row r="555" customFormat="false" ht="15" hidden="false" customHeight="false" outlineLevel="0" collapsed="false">
      <c r="A555" s="2" t="n">
        <v>554</v>
      </c>
      <c r="B555" s="2" t="s">
        <v>791</v>
      </c>
      <c r="C555" s="2" t="s">
        <v>1153</v>
      </c>
      <c r="D555" s="2" t="s">
        <v>901</v>
      </c>
      <c r="E555" s="2" t="s">
        <v>1596</v>
      </c>
    </row>
    <row r="556" customFormat="false" ht="15" hidden="false" customHeight="false" outlineLevel="0" collapsed="false">
      <c r="A556" s="2" t="n">
        <v>555</v>
      </c>
      <c r="B556" s="2" t="s">
        <v>905</v>
      </c>
      <c r="C556" s="2" t="s">
        <v>1151</v>
      </c>
      <c r="D556" s="2" t="s">
        <v>903</v>
      </c>
      <c r="E556" s="2" t="s">
        <v>1374</v>
      </c>
    </row>
    <row r="557" customFormat="false" ht="15" hidden="false" customHeight="false" outlineLevel="0" collapsed="false">
      <c r="A557" s="2" t="n">
        <v>556</v>
      </c>
      <c r="B557" s="2" t="s">
        <v>905</v>
      </c>
      <c r="C557" s="2" t="s">
        <v>1151</v>
      </c>
      <c r="D557" s="2" t="s">
        <v>6</v>
      </c>
      <c r="E557" s="2" t="s">
        <v>1597</v>
      </c>
    </row>
    <row r="558" customFormat="false" ht="15" hidden="false" customHeight="false" outlineLevel="0" collapsed="false">
      <c r="A558" s="2" t="n">
        <v>557</v>
      </c>
      <c r="B558" s="2" t="s">
        <v>905</v>
      </c>
      <c r="C558" s="2" t="s">
        <v>1151</v>
      </c>
      <c r="D558" s="2" t="s">
        <v>14</v>
      </c>
      <c r="E558" s="2" t="s">
        <v>1598</v>
      </c>
    </row>
    <row r="559" customFormat="false" ht="15" hidden="false" customHeight="false" outlineLevel="0" collapsed="false">
      <c r="A559" s="2" t="n">
        <v>558</v>
      </c>
      <c r="B559" s="2" t="s">
        <v>905</v>
      </c>
      <c r="C559" s="2" t="s">
        <v>1151</v>
      </c>
      <c r="D559" s="2" t="s">
        <v>16</v>
      </c>
      <c r="E559" s="2" t="s">
        <v>1599</v>
      </c>
    </row>
    <row r="560" customFormat="false" ht="15" hidden="false" customHeight="false" outlineLevel="0" collapsed="false">
      <c r="A560" s="2" t="n">
        <v>559</v>
      </c>
      <c r="B560" s="2" t="s">
        <v>905</v>
      </c>
      <c r="C560" s="2" t="s">
        <v>1151</v>
      </c>
      <c r="D560" s="2" t="s">
        <v>20</v>
      </c>
      <c r="E560" s="2" t="s">
        <v>1600</v>
      </c>
    </row>
    <row r="561" customFormat="false" ht="15" hidden="false" customHeight="false" outlineLevel="0" collapsed="false">
      <c r="A561" s="2" t="n">
        <v>560</v>
      </c>
      <c r="B561" s="2" t="s">
        <v>905</v>
      </c>
      <c r="C561" s="2" t="s">
        <v>1151</v>
      </c>
      <c r="D561" s="2" t="s">
        <v>18</v>
      </c>
      <c r="E561" s="2" t="s">
        <v>1601</v>
      </c>
    </row>
    <row r="562" customFormat="false" ht="15" hidden="false" customHeight="false" outlineLevel="0" collapsed="false">
      <c r="A562" s="2" t="n">
        <v>561</v>
      </c>
      <c r="B562" s="2" t="s">
        <v>905</v>
      </c>
      <c r="C562" s="2" t="s">
        <v>1151</v>
      </c>
      <c r="D562" s="2" t="s">
        <v>804</v>
      </c>
      <c r="E562" s="2" t="s">
        <v>1602</v>
      </c>
    </row>
    <row r="563" customFormat="false" ht="15" hidden="false" customHeight="false" outlineLevel="0" collapsed="false">
      <c r="A563" s="2" t="n">
        <v>562</v>
      </c>
      <c r="B563" s="2" t="s">
        <v>905</v>
      </c>
      <c r="C563" s="2" t="s">
        <v>1151</v>
      </c>
      <c r="D563" s="2" t="s">
        <v>27</v>
      </c>
      <c r="E563" s="2" t="s">
        <v>1603</v>
      </c>
    </row>
    <row r="564" customFormat="false" ht="15" hidden="false" customHeight="false" outlineLevel="0" collapsed="false">
      <c r="A564" s="2" t="n">
        <v>563</v>
      </c>
      <c r="B564" s="2" t="s">
        <v>905</v>
      </c>
      <c r="C564" s="2" t="s">
        <v>1151</v>
      </c>
      <c r="D564" s="2" t="s">
        <v>24</v>
      </c>
      <c r="E564" s="2" t="s">
        <v>1604</v>
      </c>
    </row>
    <row r="565" customFormat="false" ht="15" hidden="false" customHeight="false" outlineLevel="0" collapsed="false">
      <c r="A565" s="2" t="n">
        <v>564</v>
      </c>
      <c r="B565" s="2" t="s">
        <v>905</v>
      </c>
      <c r="C565" s="2" t="s">
        <v>1151</v>
      </c>
      <c r="D565" s="2" t="s">
        <v>26</v>
      </c>
      <c r="E565" s="2" t="s">
        <v>1605</v>
      </c>
    </row>
    <row r="566" customFormat="false" ht="15" hidden="false" customHeight="false" outlineLevel="0" collapsed="false">
      <c r="A566" s="2" t="n">
        <v>565</v>
      </c>
      <c r="B566" s="2" t="s">
        <v>905</v>
      </c>
      <c r="C566" s="2" t="s">
        <v>1151</v>
      </c>
      <c r="D566" s="2" t="s">
        <v>22</v>
      </c>
      <c r="E566" s="2" t="s">
        <v>1605</v>
      </c>
    </row>
    <row r="567" customFormat="false" ht="15" hidden="false" customHeight="false" outlineLevel="0" collapsed="false">
      <c r="A567" s="2" t="n">
        <v>566</v>
      </c>
      <c r="B567" s="2" t="s">
        <v>905</v>
      </c>
      <c r="C567" s="2" t="s">
        <v>1151</v>
      </c>
      <c r="D567" s="2" t="s">
        <v>174</v>
      </c>
      <c r="E567" s="2" t="s">
        <v>1606</v>
      </c>
    </row>
    <row r="568" customFormat="false" ht="15" hidden="false" customHeight="false" outlineLevel="0" collapsed="false">
      <c r="A568" s="2" t="n">
        <v>567</v>
      </c>
      <c r="B568" s="2" t="s">
        <v>905</v>
      </c>
      <c r="C568" s="2" t="s">
        <v>1151</v>
      </c>
      <c r="D568" s="2" t="s">
        <v>914</v>
      </c>
      <c r="E568" s="2" t="s">
        <v>1607</v>
      </c>
    </row>
    <row r="569" customFormat="false" ht="15" hidden="false" customHeight="false" outlineLevel="0" collapsed="false">
      <c r="A569" s="2" t="n">
        <v>568</v>
      </c>
      <c r="B569" s="2" t="s">
        <v>905</v>
      </c>
      <c r="C569" s="2" t="s">
        <v>1151</v>
      </c>
      <c r="D569" s="2" t="s">
        <v>916</v>
      </c>
      <c r="E569" s="2" t="s">
        <v>1608</v>
      </c>
    </row>
    <row r="570" customFormat="false" ht="15" hidden="false" customHeight="false" outlineLevel="0" collapsed="false">
      <c r="A570" s="2" t="n">
        <v>569</v>
      </c>
      <c r="B570" s="2" t="s">
        <v>905</v>
      </c>
      <c r="C570" s="2" t="s">
        <v>1151</v>
      </c>
      <c r="D570" s="2" t="s">
        <v>918</v>
      </c>
      <c r="E570" s="2" t="s">
        <v>1608</v>
      </c>
    </row>
    <row r="571" customFormat="false" ht="15" hidden="false" customHeight="false" outlineLevel="0" collapsed="false">
      <c r="A571" s="2" t="n">
        <v>570</v>
      </c>
      <c r="B571" s="2" t="s">
        <v>905</v>
      </c>
      <c r="C571" s="2" t="s">
        <v>1151</v>
      </c>
      <c r="D571" s="2" t="s">
        <v>919</v>
      </c>
      <c r="E571" s="2" t="s">
        <v>1608</v>
      </c>
    </row>
    <row r="572" customFormat="false" ht="15" hidden="false" customHeight="false" outlineLevel="0" collapsed="false">
      <c r="A572" s="2" t="n">
        <v>571</v>
      </c>
      <c r="B572" s="2" t="s">
        <v>905</v>
      </c>
      <c r="C572" s="2" t="s">
        <v>1151</v>
      </c>
      <c r="D572" s="2" t="s">
        <v>920</v>
      </c>
      <c r="E572" s="2" t="s">
        <v>1609</v>
      </c>
    </row>
    <row r="573" customFormat="false" ht="15" hidden="false" customHeight="false" outlineLevel="0" collapsed="false">
      <c r="A573" s="2" t="n">
        <v>572</v>
      </c>
      <c r="B573" s="2" t="s">
        <v>905</v>
      </c>
      <c r="C573" s="2" t="s">
        <v>1153</v>
      </c>
      <c r="D573" s="2" t="s">
        <v>176</v>
      </c>
      <c r="E573" s="2" t="s">
        <v>1610</v>
      </c>
    </row>
    <row r="574" customFormat="false" ht="15" hidden="false" customHeight="false" outlineLevel="0" collapsed="false">
      <c r="A574" s="2" t="n">
        <v>573</v>
      </c>
      <c r="B574" s="2" t="s">
        <v>905</v>
      </c>
      <c r="C574" s="2" t="s">
        <v>1153</v>
      </c>
      <c r="D574" s="2" t="s">
        <v>923</v>
      </c>
      <c r="E574" s="2" t="s">
        <v>1611</v>
      </c>
    </row>
    <row r="575" customFormat="false" ht="15" hidden="false" customHeight="false" outlineLevel="0" collapsed="false">
      <c r="A575" s="2" t="n">
        <v>574</v>
      </c>
      <c r="B575" s="2" t="s">
        <v>905</v>
      </c>
      <c r="C575" s="2" t="s">
        <v>1153</v>
      </c>
      <c r="D575" s="2" t="s">
        <v>925</v>
      </c>
      <c r="E575" s="2" t="s">
        <v>1612</v>
      </c>
    </row>
    <row r="576" customFormat="false" ht="15" hidden="false" customHeight="false" outlineLevel="0" collapsed="false">
      <c r="A576" s="2" t="n">
        <v>575</v>
      </c>
      <c r="B576" s="2" t="s">
        <v>905</v>
      </c>
      <c r="C576" s="2" t="s">
        <v>1153</v>
      </c>
      <c r="D576" s="2" t="s">
        <v>927</v>
      </c>
      <c r="E576" s="2" t="s">
        <v>1613</v>
      </c>
    </row>
    <row r="577" customFormat="false" ht="15" hidden="false" customHeight="false" outlineLevel="0" collapsed="false">
      <c r="A577" s="2" t="n">
        <v>576</v>
      </c>
      <c r="B577" s="2" t="s">
        <v>905</v>
      </c>
      <c r="C577" s="2" t="s">
        <v>1153</v>
      </c>
      <c r="D577" s="2" t="s">
        <v>928</v>
      </c>
      <c r="E577" s="2" t="s">
        <v>1614</v>
      </c>
    </row>
    <row r="578" customFormat="false" ht="15" hidden="false" customHeight="false" outlineLevel="0" collapsed="false">
      <c r="A578" s="2" t="n">
        <v>577</v>
      </c>
      <c r="B578" s="2" t="s">
        <v>905</v>
      </c>
      <c r="C578" s="2" t="s">
        <v>1153</v>
      </c>
      <c r="D578" s="2" t="s">
        <v>929</v>
      </c>
      <c r="E578" s="2" t="s">
        <v>1615</v>
      </c>
    </row>
    <row r="579" customFormat="false" ht="15" hidden="false" customHeight="false" outlineLevel="0" collapsed="false">
      <c r="A579" s="2" t="n">
        <v>578</v>
      </c>
      <c r="B579" s="2" t="s">
        <v>905</v>
      </c>
      <c r="C579" s="2" t="s">
        <v>1153</v>
      </c>
      <c r="D579" s="2" t="s">
        <v>335</v>
      </c>
      <c r="E579" s="2" t="s">
        <v>1616</v>
      </c>
    </row>
    <row r="580" customFormat="false" ht="15" hidden="false" customHeight="false" outlineLevel="0" collapsed="false">
      <c r="A580" s="2" t="n">
        <v>579</v>
      </c>
      <c r="B580" s="2" t="s">
        <v>905</v>
      </c>
      <c r="C580" s="2" t="s">
        <v>1173</v>
      </c>
      <c r="D580" s="2" t="s">
        <v>931</v>
      </c>
      <c r="E580" s="2" t="s">
        <v>1465</v>
      </c>
    </row>
    <row r="581" customFormat="false" ht="15" hidden="false" customHeight="false" outlineLevel="0" collapsed="false">
      <c r="A581" s="2" t="n">
        <v>580</v>
      </c>
      <c r="B581" s="2" t="s">
        <v>905</v>
      </c>
      <c r="C581" s="2" t="s">
        <v>1173</v>
      </c>
      <c r="D581" s="2" t="s">
        <v>575</v>
      </c>
      <c r="E581" s="2" t="s">
        <v>1465</v>
      </c>
    </row>
    <row r="582" customFormat="false" ht="15" hidden="false" customHeight="false" outlineLevel="0" collapsed="false">
      <c r="A582" s="2" t="n">
        <v>581</v>
      </c>
      <c r="B582" s="2" t="s">
        <v>905</v>
      </c>
      <c r="C582" s="2" t="s">
        <v>1173</v>
      </c>
      <c r="D582" s="2" t="s">
        <v>934</v>
      </c>
      <c r="E582" s="2" t="s">
        <v>1465</v>
      </c>
    </row>
    <row r="583" customFormat="false" ht="15" hidden="false" customHeight="false" outlineLevel="0" collapsed="false">
      <c r="A583" s="2" t="n">
        <v>582</v>
      </c>
      <c r="B583" s="2" t="s">
        <v>905</v>
      </c>
      <c r="C583" s="2" t="s">
        <v>1173</v>
      </c>
      <c r="D583" s="2" t="s">
        <v>936</v>
      </c>
      <c r="E583" s="2" t="s">
        <v>1465</v>
      </c>
    </row>
    <row r="584" customFormat="false" ht="15" hidden="false" customHeight="false" outlineLevel="0" collapsed="false">
      <c r="A584" s="2" t="n">
        <v>583</v>
      </c>
      <c r="B584" s="2" t="s">
        <v>905</v>
      </c>
      <c r="C584" s="2" t="s">
        <v>1173</v>
      </c>
      <c r="D584" s="2" t="s">
        <v>937</v>
      </c>
      <c r="E584" s="2" t="s">
        <v>1465</v>
      </c>
    </row>
    <row r="585" customFormat="false" ht="15" hidden="false" customHeight="false" outlineLevel="0" collapsed="false">
      <c r="A585" s="2" t="n">
        <v>584</v>
      </c>
      <c r="B585" s="2" t="s">
        <v>905</v>
      </c>
      <c r="C585" s="2" t="s">
        <v>1173</v>
      </c>
      <c r="D585" s="2" t="s">
        <v>191</v>
      </c>
      <c r="E585" s="2" t="s">
        <v>1465</v>
      </c>
    </row>
    <row r="586" customFormat="false" ht="15" hidden="false" customHeight="false" outlineLevel="0" collapsed="false">
      <c r="A586" s="2" t="n">
        <v>585</v>
      </c>
      <c r="B586" s="2" t="s">
        <v>905</v>
      </c>
      <c r="C586" s="2" t="s">
        <v>1173</v>
      </c>
      <c r="D586" s="2" t="s">
        <v>940</v>
      </c>
      <c r="E586" s="2" t="s">
        <v>1465</v>
      </c>
    </row>
    <row r="587" customFormat="false" ht="15" hidden="false" customHeight="false" outlineLevel="0" collapsed="false">
      <c r="A587" s="2" t="n">
        <v>586</v>
      </c>
      <c r="B587" s="2" t="s">
        <v>905</v>
      </c>
      <c r="C587" s="2" t="s">
        <v>1173</v>
      </c>
      <c r="D587" s="2" t="s">
        <v>395</v>
      </c>
      <c r="E587" s="2" t="s">
        <v>1466</v>
      </c>
    </row>
    <row r="588" customFormat="false" ht="15" hidden="false" customHeight="false" outlineLevel="0" collapsed="false">
      <c r="A588" s="2" t="n">
        <v>587</v>
      </c>
      <c r="B588" s="2" t="s">
        <v>905</v>
      </c>
      <c r="C588" s="2" t="s">
        <v>1173</v>
      </c>
      <c r="D588" s="2" t="s">
        <v>832</v>
      </c>
      <c r="E588" s="2" t="s">
        <v>1466</v>
      </c>
    </row>
    <row r="589" customFormat="false" ht="15" hidden="false" customHeight="false" outlineLevel="0" collapsed="false">
      <c r="A589" s="2" t="n">
        <v>588</v>
      </c>
      <c r="B589" s="2" t="s">
        <v>905</v>
      </c>
      <c r="C589" s="2" t="s">
        <v>1173</v>
      </c>
      <c r="D589" s="2" t="s">
        <v>944</v>
      </c>
      <c r="E589" s="2" t="s">
        <v>1468</v>
      </c>
    </row>
    <row r="590" customFormat="false" ht="15" hidden="false" customHeight="false" outlineLevel="0" collapsed="false">
      <c r="A590" s="2" t="n">
        <v>589</v>
      </c>
      <c r="B590" s="2" t="s">
        <v>905</v>
      </c>
      <c r="C590" s="2" t="s">
        <v>1173</v>
      </c>
      <c r="D590" s="2" t="s">
        <v>946</v>
      </c>
      <c r="E590" s="2" t="s">
        <v>1468</v>
      </c>
    </row>
    <row r="591" customFormat="false" ht="15" hidden="false" customHeight="false" outlineLevel="0" collapsed="false">
      <c r="A591" s="2" t="n">
        <v>590</v>
      </c>
      <c r="B591" s="2" t="s">
        <v>905</v>
      </c>
      <c r="C591" s="2" t="s">
        <v>1173</v>
      </c>
      <c r="D591" s="2" t="s">
        <v>947</v>
      </c>
      <c r="E591" s="2" t="s">
        <v>1617</v>
      </c>
    </row>
    <row r="592" customFormat="false" ht="15" hidden="false" customHeight="false" outlineLevel="0" collapsed="false">
      <c r="A592" s="2" t="n">
        <v>591</v>
      </c>
      <c r="B592" s="2" t="s">
        <v>905</v>
      </c>
      <c r="C592" s="2" t="s">
        <v>1173</v>
      </c>
      <c r="D592" s="2" t="s">
        <v>949</v>
      </c>
      <c r="E592" s="2" t="s">
        <v>1468</v>
      </c>
    </row>
    <row r="593" customFormat="false" ht="15" hidden="false" customHeight="false" outlineLevel="0" collapsed="false">
      <c r="A593" s="2" t="n">
        <v>592</v>
      </c>
      <c r="B593" s="2" t="s">
        <v>905</v>
      </c>
      <c r="C593" s="2" t="s">
        <v>1173</v>
      </c>
      <c r="D593" s="2" t="s">
        <v>950</v>
      </c>
      <c r="E593" s="2" t="s">
        <v>1468</v>
      </c>
    </row>
    <row r="594" customFormat="false" ht="15" hidden="false" customHeight="false" outlineLevel="0" collapsed="false">
      <c r="A594" s="2" t="n">
        <v>593</v>
      </c>
      <c r="B594" s="2" t="s">
        <v>905</v>
      </c>
      <c r="C594" s="2" t="s">
        <v>1173</v>
      </c>
      <c r="D594" s="2" t="s">
        <v>951</v>
      </c>
      <c r="E594" s="2" t="s">
        <v>1468</v>
      </c>
    </row>
    <row r="595" customFormat="false" ht="15" hidden="false" customHeight="false" outlineLevel="0" collapsed="false">
      <c r="A595" s="2" t="n">
        <v>594</v>
      </c>
      <c r="B595" s="2" t="s">
        <v>905</v>
      </c>
      <c r="C595" s="2" t="s">
        <v>1173</v>
      </c>
      <c r="D595" s="2" t="s">
        <v>953</v>
      </c>
      <c r="E595" s="2" t="s">
        <v>1468</v>
      </c>
    </row>
    <row r="596" customFormat="false" ht="15" hidden="false" customHeight="false" outlineLevel="0" collapsed="false">
      <c r="A596" s="2" t="n">
        <v>595</v>
      </c>
      <c r="B596" s="2" t="s">
        <v>905</v>
      </c>
      <c r="C596" s="2" t="s">
        <v>1173</v>
      </c>
      <c r="D596" s="2" t="s">
        <v>954</v>
      </c>
      <c r="E596" s="2" t="s">
        <v>1468</v>
      </c>
    </row>
    <row r="597" customFormat="false" ht="15" hidden="false" customHeight="false" outlineLevel="0" collapsed="false">
      <c r="A597" s="2" t="n">
        <v>596</v>
      </c>
      <c r="B597" s="2" t="s">
        <v>905</v>
      </c>
      <c r="C597" s="2" t="s">
        <v>1173</v>
      </c>
      <c r="D597" s="2" t="s">
        <v>955</v>
      </c>
      <c r="E597" s="2" t="s">
        <v>1468</v>
      </c>
    </row>
    <row r="598" customFormat="false" ht="15" hidden="false" customHeight="false" outlineLevel="0" collapsed="false">
      <c r="A598" s="2" t="n">
        <v>597</v>
      </c>
      <c r="B598" s="2" t="s">
        <v>905</v>
      </c>
      <c r="C598" s="2" t="s">
        <v>1173</v>
      </c>
      <c r="D598" s="2" t="s">
        <v>957</v>
      </c>
      <c r="E598" s="2" t="s">
        <v>1468</v>
      </c>
    </row>
    <row r="599" customFormat="false" ht="15" hidden="false" customHeight="false" outlineLevel="0" collapsed="false">
      <c r="A599" s="2" t="n">
        <v>598</v>
      </c>
      <c r="B599" s="2" t="s">
        <v>905</v>
      </c>
      <c r="C599" s="2" t="s">
        <v>1173</v>
      </c>
      <c r="D599" s="2" t="s">
        <v>959</v>
      </c>
      <c r="E599" s="2" t="s">
        <v>1468</v>
      </c>
    </row>
    <row r="600" customFormat="false" ht="15" hidden="false" customHeight="false" outlineLevel="0" collapsed="false">
      <c r="A600" s="2" t="n">
        <v>599</v>
      </c>
      <c r="B600" s="2" t="s">
        <v>905</v>
      </c>
      <c r="C600" s="2" t="s">
        <v>1173</v>
      </c>
      <c r="D600" s="2" t="s">
        <v>960</v>
      </c>
      <c r="E600" s="2" t="s">
        <v>1468</v>
      </c>
    </row>
    <row r="601" customFormat="false" ht="15" hidden="false" customHeight="false" outlineLevel="0" collapsed="false">
      <c r="A601" s="2" t="n">
        <v>600</v>
      </c>
      <c r="B601" s="2" t="s">
        <v>905</v>
      </c>
      <c r="C601" s="2" t="s">
        <v>1173</v>
      </c>
      <c r="D601" s="2" t="s">
        <v>962</v>
      </c>
      <c r="E601" s="2" t="s">
        <v>1468</v>
      </c>
    </row>
    <row r="602" customFormat="false" ht="15" hidden="false" customHeight="false" outlineLevel="0" collapsed="false">
      <c r="A602" s="2" t="n">
        <v>601</v>
      </c>
      <c r="B602" s="2" t="s">
        <v>905</v>
      </c>
      <c r="C602" s="2" t="s">
        <v>1173</v>
      </c>
      <c r="D602" s="2" t="s">
        <v>963</v>
      </c>
      <c r="E602" s="2" t="s">
        <v>1468</v>
      </c>
    </row>
    <row r="603" customFormat="false" ht="15" hidden="false" customHeight="false" outlineLevel="0" collapsed="false">
      <c r="A603" s="2" t="n">
        <v>602</v>
      </c>
      <c r="B603" s="2" t="s">
        <v>905</v>
      </c>
      <c r="C603" s="2" t="s">
        <v>1173</v>
      </c>
      <c r="D603" s="2" t="s">
        <v>965</v>
      </c>
      <c r="E603" s="2" t="s">
        <v>1468</v>
      </c>
    </row>
    <row r="604" customFormat="false" ht="15" hidden="false" customHeight="false" outlineLevel="0" collapsed="false">
      <c r="A604" s="2" t="n">
        <v>603</v>
      </c>
      <c r="B604" s="2" t="s">
        <v>905</v>
      </c>
      <c r="C604" s="2" t="s">
        <v>1173</v>
      </c>
      <c r="D604" s="2" t="s">
        <v>966</v>
      </c>
      <c r="E604" s="2" t="s">
        <v>1468</v>
      </c>
    </row>
    <row r="605" customFormat="false" ht="15" hidden="false" customHeight="false" outlineLevel="0" collapsed="false">
      <c r="A605" s="2" t="n">
        <v>604</v>
      </c>
      <c r="B605" s="2" t="s">
        <v>905</v>
      </c>
      <c r="C605" s="2" t="s">
        <v>1173</v>
      </c>
      <c r="D605" s="2" t="s">
        <v>967</v>
      </c>
      <c r="E605" s="2" t="s">
        <v>1468</v>
      </c>
    </row>
    <row r="606" customFormat="false" ht="15" hidden="false" customHeight="false" outlineLevel="0" collapsed="false">
      <c r="A606" s="2" t="n">
        <v>605</v>
      </c>
      <c r="B606" s="2" t="s">
        <v>905</v>
      </c>
      <c r="C606" s="2" t="s">
        <v>1173</v>
      </c>
      <c r="D606" s="2" t="s">
        <v>649</v>
      </c>
      <c r="E606" s="2" t="s">
        <v>1469</v>
      </c>
    </row>
    <row r="607" customFormat="false" ht="15" hidden="false" customHeight="false" outlineLevel="0" collapsed="false">
      <c r="A607" s="2" t="n">
        <v>606</v>
      </c>
      <c r="B607" s="2" t="s">
        <v>905</v>
      </c>
      <c r="C607" s="2" t="s">
        <v>1173</v>
      </c>
      <c r="D607" s="2" t="s">
        <v>651</v>
      </c>
      <c r="E607" s="2" t="s">
        <v>1469</v>
      </c>
    </row>
    <row r="608" customFormat="false" ht="15" hidden="false" customHeight="false" outlineLevel="0" collapsed="false">
      <c r="A608" s="2" t="n">
        <v>607</v>
      </c>
      <c r="B608" s="2" t="s">
        <v>905</v>
      </c>
      <c r="C608" s="2" t="s">
        <v>1173</v>
      </c>
      <c r="D608" s="2" t="s">
        <v>969</v>
      </c>
      <c r="E608" s="2" t="s">
        <v>1469</v>
      </c>
    </row>
    <row r="609" customFormat="false" ht="15" hidden="false" customHeight="false" outlineLevel="0" collapsed="false">
      <c r="A609" s="2" t="n">
        <v>608</v>
      </c>
      <c r="B609" s="2" t="s">
        <v>905</v>
      </c>
      <c r="C609" s="2" t="s">
        <v>1173</v>
      </c>
      <c r="D609" s="2" t="s">
        <v>971</v>
      </c>
      <c r="E609" s="2" t="s">
        <v>1469</v>
      </c>
    </row>
    <row r="610" customFormat="false" ht="15" hidden="false" customHeight="false" outlineLevel="0" collapsed="false">
      <c r="A610" s="2" t="n">
        <v>609</v>
      </c>
      <c r="B610" s="2" t="s">
        <v>905</v>
      </c>
      <c r="C610" s="2" t="s">
        <v>1173</v>
      </c>
      <c r="D610" s="2" t="s">
        <v>973</v>
      </c>
      <c r="E610" s="2" t="s">
        <v>1469</v>
      </c>
    </row>
    <row r="611" customFormat="false" ht="15" hidden="false" customHeight="false" outlineLevel="0" collapsed="false">
      <c r="A611" s="2" t="n">
        <v>610</v>
      </c>
      <c r="B611" s="2" t="s">
        <v>905</v>
      </c>
      <c r="C611" s="2" t="s">
        <v>1173</v>
      </c>
      <c r="D611" s="2" t="s">
        <v>975</v>
      </c>
      <c r="E611" s="2" t="s">
        <v>1469</v>
      </c>
    </row>
    <row r="612" customFormat="false" ht="15" hidden="false" customHeight="false" outlineLevel="0" collapsed="false">
      <c r="A612" s="2" t="n">
        <v>611</v>
      </c>
      <c r="B612" s="2" t="s">
        <v>905</v>
      </c>
      <c r="C612" s="2" t="s">
        <v>1173</v>
      </c>
      <c r="D612" s="2" t="s">
        <v>977</v>
      </c>
      <c r="E612" s="2" t="s">
        <v>1469</v>
      </c>
    </row>
    <row r="613" customFormat="false" ht="15" hidden="false" customHeight="false" outlineLevel="0" collapsed="false">
      <c r="A613" s="2" t="n">
        <v>612</v>
      </c>
      <c r="B613" s="2" t="s">
        <v>905</v>
      </c>
      <c r="C613" s="2" t="s">
        <v>1173</v>
      </c>
      <c r="D613" s="2" t="s">
        <v>979</v>
      </c>
      <c r="E613" s="2" t="s">
        <v>1469</v>
      </c>
    </row>
    <row r="614" customFormat="false" ht="15" hidden="false" customHeight="false" outlineLevel="0" collapsed="false">
      <c r="A614" s="2" t="n">
        <v>613</v>
      </c>
      <c r="B614" s="2" t="s">
        <v>905</v>
      </c>
      <c r="C614" s="2" t="s">
        <v>1173</v>
      </c>
      <c r="D614" s="2" t="s">
        <v>981</v>
      </c>
      <c r="E614" s="2" t="s">
        <v>1469</v>
      </c>
    </row>
    <row r="615" customFormat="false" ht="15" hidden="false" customHeight="false" outlineLevel="0" collapsed="false">
      <c r="A615" s="2" t="n">
        <v>614</v>
      </c>
      <c r="B615" s="2" t="s">
        <v>905</v>
      </c>
      <c r="C615" s="2" t="s">
        <v>1173</v>
      </c>
      <c r="D615" s="2" t="s">
        <v>983</v>
      </c>
      <c r="E615" s="2" t="s">
        <v>1469</v>
      </c>
    </row>
    <row r="616" customFormat="false" ht="15" hidden="false" customHeight="false" outlineLevel="0" collapsed="false">
      <c r="A616" s="2" t="n">
        <v>615</v>
      </c>
      <c r="B616" s="2" t="s">
        <v>905</v>
      </c>
      <c r="C616" s="2" t="s">
        <v>1173</v>
      </c>
      <c r="D616" s="2" t="s">
        <v>985</v>
      </c>
      <c r="E616" s="2" t="s">
        <v>1469</v>
      </c>
    </row>
    <row r="617" customFormat="false" ht="15" hidden="false" customHeight="false" outlineLevel="0" collapsed="false">
      <c r="A617" s="2" t="n">
        <v>616</v>
      </c>
      <c r="B617" s="2" t="s">
        <v>905</v>
      </c>
      <c r="C617" s="2" t="s">
        <v>1151</v>
      </c>
      <c r="D617" s="2" t="s">
        <v>987</v>
      </c>
      <c r="E617" s="2" t="s">
        <v>1374</v>
      </c>
    </row>
    <row r="618" customFormat="false" ht="15" hidden="false" customHeight="false" outlineLevel="0" collapsed="false">
      <c r="A618" s="2" t="n">
        <v>617</v>
      </c>
      <c r="B618" s="2" t="s">
        <v>905</v>
      </c>
      <c r="C618" s="2" t="s">
        <v>1151</v>
      </c>
      <c r="D618" s="2" t="s">
        <v>988</v>
      </c>
      <c r="E618" s="2" t="s">
        <v>1618</v>
      </c>
    </row>
    <row r="619" customFormat="false" ht="15" hidden="false" customHeight="false" outlineLevel="0" collapsed="false">
      <c r="A619" s="2" t="n">
        <v>618</v>
      </c>
      <c r="B619" s="2" t="s">
        <v>905</v>
      </c>
      <c r="C619" s="2" t="s">
        <v>1151</v>
      </c>
      <c r="D619" s="2" t="s">
        <v>211</v>
      </c>
      <c r="E619" s="2" t="s">
        <v>1619</v>
      </c>
    </row>
    <row r="620" customFormat="false" ht="15" hidden="false" customHeight="false" outlineLevel="0" collapsed="false">
      <c r="A620" s="2" t="n">
        <v>619</v>
      </c>
      <c r="B620" s="2" t="s">
        <v>905</v>
      </c>
      <c r="C620" s="2" t="s">
        <v>1151</v>
      </c>
      <c r="D620" s="2" t="s">
        <v>98</v>
      </c>
      <c r="E620" s="2" t="s">
        <v>1620</v>
      </c>
    </row>
    <row r="621" customFormat="false" ht="15" hidden="false" customHeight="false" outlineLevel="0" collapsed="false">
      <c r="A621" s="2" t="n">
        <v>620</v>
      </c>
      <c r="B621" s="2" t="s">
        <v>905</v>
      </c>
      <c r="C621" s="2" t="s">
        <v>1151</v>
      </c>
      <c r="D621" s="2" t="s">
        <v>992</v>
      </c>
      <c r="E621" s="2" t="s">
        <v>1621</v>
      </c>
    </row>
    <row r="622" customFormat="false" ht="15" hidden="false" customHeight="false" outlineLevel="0" collapsed="false">
      <c r="A622" s="2" t="n">
        <v>621</v>
      </c>
      <c r="B622" s="2" t="s">
        <v>905</v>
      </c>
      <c r="C622" s="2" t="s">
        <v>1151</v>
      </c>
      <c r="D622" s="2" t="s">
        <v>994</v>
      </c>
      <c r="E622" s="2" t="s">
        <v>1622</v>
      </c>
    </row>
    <row r="623" customFormat="false" ht="15" hidden="false" customHeight="false" outlineLevel="0" collapsed="false">
      <c r="A623" s="2" t="n">
        <v>622</v>
      </c>
      <c r="B623" s="2" t="s">
        <v>905</v>
      </c>
      <c r="C623" s="2" t="s">
        <v>1151</v>
      </c>
      <c r="D623" s="2" t="s">
        <v>912</v>
      </c>
      <c r="E623" s="2" t="s">
        <v>1623</v>
      </c>
    </row>
    <row r="624" customFormat="false" ht="15" hidden="false" customHeight="false" outlineLevel="0" collapsed="false">
      <c r="A624" s="2" t="n">
        <v>623</v>
      </c>
      <c r="B624" s="2" t="s">
        <v>905</v>
      </c>
      <c r="C624" s="2" t="s">
        <v>1151</v>
      </c>
      <c r="D624" s="2" t="s">
        <v>101</v>
      </c>
      <c r="E624" s="2" t="s">
        <v>1624</v>
      </c>
    </row>
    <row r="625" customFormat="false" ht="15" hidden="false" customHeight="false" outlineLevel="0" collapsed="false">
      <c r="A625" s="2" t="n">
        <v>624</v>
      </c>
      <c r="B625" s="2" t="s">
        <v>905</v>
      </c>
      <c r="C625" s="2" t="s">
        <v>1151</v>
      </c>
      <c r="D625" s="2" t="s">
        <v>998</v>
      </c>
      <c r="E625" s="2" t="s">
        <v>1625</v>
      </c>
    </row>
    <row r="626" customFormat="false" ht="15" hidden="false" customHeight="false" outlineLevel="0" collapsed="false">
      <c r="A626" s="2" t="n">
        <v>625</v>
      </c>
      <c r="B626" s="2" t="s">
        <v>905</v>
      </c>
      <c r="C626" s="2" t="s">
        <v>1151</v>
      </c>
      <c r="D626" s="2" t="s">
        <v>1000</v>
      </c>
      <c r="E626" s="2" t="s">
        <v>1626</v>
      </c>
    </row>
    <row r="627" customFormat="false" ht="15" hidden="false" customHeight="false" outlineLevel="0" collapsed="false">
      <c r="A627" s="2" t="n">
        <v>626</v>
      </c>
      <c r="B627" s="2" t="s">
        <v>905</v>
      </c>
      <c r="C627" s="2" t="s">
        <v>1151</v>
      </c>
      <c r="D627" s="2" t="s">
        <v>453</v>
      </c>
      <c r="E627" s="2" t="s">
        <v>1627</v>
      </c>
    </row>
    <row r="628" customFormat="false" ht="15" hidden="false" customHeight="false" outlineLevel="0" collapsed="false">
      <c r="A628" s="2" t="n">
        <v>627</v>
      </c>
      <c r="B628" s="2" t="s">
        <v>905</v>
      </c>
      <c r="C628" s="2" t="s">
        <v>1151</v>
      </c>
      <c r="D628" s="2" t="s">
        <v>1003</v>
      </c>
      <c r="E628" s="2" t="s">
        <v>1628</v>
      </c>
    </row>
    <row r="629" customFormat="false" ht="15" hidden="false" customHeight="false" outlineLevel="0" collapsed="false">
      <c r="A629" s="2" t="n">
        <v>628</v>
      </c>
      <c r="B629" s="2" t="s">
        <v>905</v>
      </c>
      <c r="C629" s="2" t="s">
        <v>1151</v>
      </c>
      <c r="D629" s="2" t="s">
        <v>1005</v>
      </c>
      <c r="E629" s="2" t="s">
        <v>1629</v>
      </c>
    </row>
    <row r="630" customFormat="false" ht="15" hidden="false" customHeight="false" outlineLevel="0" collapsed="false">
      <c r="A630" s="2" t="n">
        <v>629</v>
      </c>
      <c r="B630" s="2" t="s">
        <v>905</v>
      </c>
      <c r="C630" s="2" t="s">
        <v>1151</v>
      </c>
      <c r="D630" s="2" t="s">
        <v>1007</v>
      </c>
      <c r="E630" s="2" t="s">
        <v>1630</v>
      </c>
    </row>
    <row r="631" customFormat="false" ht="15" hidden="false" customHeight="false" outlineLevel="0" collapsed="false">
      <c r="A631" s="2" t="n">
        <v>630</v>
      </c>
      <c r="B631" s="2" t="s">
        <v>905</v>
      </c>
      <c r="C631" s="2" t="s">
        <v>1151</v>
      </c>
      <c r="D631" s="2" t="s">
        <v>1009</v>
      </c>
      <c r="E631" s="2" t="s">
        <v>1631</v>
      </c>
    </row>
    <row r="632" customFormat="false" ht="15" hidden="false" customHeight="false" outlineLevel="0" collapsed="false">
      <c r="A632" s="2" t="n">
        <v>631</v>
      </c>
      <c r="B632" s="2" t="s">
        <v>905</v>
      </c>
      <c r="C632" s="2" t="s">
        <v>1151</v>
      </c>
      <c r="D632" s="2" t="s">
        <v>1012</v>
      </c>
      <c r="E632" s="2" t="s">
        <v>1632</v>
      </c>
    </row>
    <row r="633" customFormat="false" ht="15" hidden="false" customHeight="false" outlineLevel="0" collapsed="false">
      <c r="A633" s="2" t="n">
        <v>632</v>
      </c>
      <c r="B633" s="2" t="s">
        <v>905</v>
      </c>
      <c r="C633" s="2" t="s">
        <v>1151</v>
      </c>
      <c r="D633" s="2" t="s">
        <v>1014</v>
      </c>
      <c r="E633" s="2" t="s">
        <v>1633</v>
      </c>
    </row>
    <row r="634" customFormat="false" ht="15" hidden="false" customHeight="false" outlineLevel="0" collapsed="false">
      <c r="A634" s="2" t="n">
        <v>633</v>
      </c>
      <c r="B634" s="2" t="s">
        <v>905</v>
      </c>
      <c r="C634" s="2" t="s">
        <v>1153</v>
      </c>
      <c r="D634" s="2" t="s">
        <v>1016</v>
      </c>
      <c r="E634" s="2" t="s">
        <v>1634</v>
      </c>
    </row>
    <row r="635" customFormat="false" ht="15" hidden="false" customHeight="false" outlineLevel="0" collapsed="false">
      <c r="A635" s="2" t="n">
        <v>634</v>
      </c>
      <c r="B635" s="2" t="s">
        <v>1020</v>
      </c>
      <c r="C635" s="2" t="s">
        <v>1151</v>
      </c>
      <c r="D635" s="2" t="s">
        <v>1018</v>
      </c>
      <c r="E635" s="2" t="s">
        <v>1524</v>
      </c>
    </row>
    <row r="636" customFormat="false" ht="15" hidden="false" customHeight="false" outlineLevel="0" collapsed="false">
      <c r="A636" s="2" t="n">
        <v>635</v>
      </c>
      <c r="B636" s="2" t="s">
        <v>1020</v>
      </c>
      <c r="C636" s="2" t="s">
        <v>1151</v>
      </c>
      <c r="D636" s="2" t="s">
        <v>6</v>
      </c>
      <c r="E636" s="2" t="s">
        <v>1635</v>
      </c>
    </row>
    <row r="637" customFormat="false" ht="15" hidden="false" customHeight="false" outlineLevel="0" collapsed="false">
      <c r="A637" s="2" t="n">
        <v>636</v>
      </c>
      <c r="B637" s="2" t="s">
        <v>1020</v>
      </c>
      <c r="C637" s="2" t="s">
        <v>1151</v>
      </c>
      <c r="D637" s="2" t="s">
        <v>1022</v>
      </c>
      <c r="E637" s="2" t="s">
        <v>1636</v>
      </c>
    </row>
    <row r="638" customFormat="false" ht="15" hidden="false" customHeight="false" outlineLevel="0" collapsed="false">
      <c r="A638" s="2" t="n">
        <v>637</v>
      </c>
      <c r="B638" s="2" t="s">
        <v>1020</v>
      </c>
      <c r="C638" s="2" t="s">
        <v>1151</v>
      </c>
      <c r="D638" s="2" t="s">
        <v>14</v>
      </c>
      <c r="E638" s="2" t="s">
        <v>1637</v>
      </c>
    </row>
    <row r="639" customFormat="false" ht="15" hidden="false" customHeight="false" outlineLevel="0" collapsed="false">
      <c r="A639" s="2" t="n">
        <v>638</v>
      </c>
      <c r="B639" s="2" t="s">
        <v>1020</v>
      </c>
      <c r="C639" s="2" t="s">
        <v>1151</v>
      </c>
      <c r="D639" s="2" t="s">
        <v>320</v>
      </c>
      <c r="E639" s="2" t="s">
        <v>1638</v>
      </c>
    </row>
    <row r="640" customFormat="false" ht="15" hidden="false" customHeight="false" outlineLevel="0" collapsed="false">
      <c r="A640" s="2" t="n">
        <v>639</v>
      </c>
      <c r="B640" s="2" t="s">
        <v>1020</v>
      </c>
      <c r="C640" s="2" t="s">
        <v>1151</v>
      </c>
      <c r="D640" s="2" t="s">
        <v>1025</v>
      </c>
      <c r="E640" s="2" t="s">
        <v>1639</v>
      </c>
    </row>
    <row r="641" customFormat="false" ht="15" hidden="false" customHeight="false" outlineLevel="0" collapsed="false">
      <c r="A641" s="2" t="n">
        <v>640</v>
      </c>
      <c r="B641" s="2" t="s">
        <v>1020</v>
      </c>
      <c r="C641" s="2" t="s">
        <v>1151</v>
      </c>
      <c r="D641" s="2" t="s">
        <v>16</v>
      </c>
      <c r="E641" s="2" t="s">
        <v>1640</v>
      </c>
    </row>
    <row r="642" customFormat="false" ht="15" hidden="false" customHeight="false" outlineLevel="0" collapsed="false">
      <c r="A642" s="2" t="n">
        <v>641</v>
      </c>
      <c r="B642" s="2" t="s">
        <v>1020</v>
      </c>
      <c r="C642" s="2" t="s">
        <v>1151</v>
      </c>
      <c r="D642" s="2" t="s">
        <v>20</v>
      </c>
      <c r="E642" s="2" t="s">
        <v>1641</v>
      </c>
    </row>
    <row r="643" customFormat="false" ht="15" hidden="false" customHeight="false" outlineLevel="0" collapsed="false">
      <c r="A643" s="2" t="n">
        <v>642</v>
      </c>
      <c r="B643" s="2" t="s">
        <v>1020</v>
      </c>
      <c r="C643" s="2" t="s">
        <v>1151</v>
      </c>
      <c r="D643" s="2" t="s">
        <v>18</v>
      </c>
      <c r="E643" s="2" t="s">
        <v>1642</v>
      </c>
    </row>
    <row r="644" customFormat="false" ht="15" hidden="false" customHeight="false" outlineLevel="0" collapsed="false">
      <c r="A644" s="2" t="n">
        <v>643</v>
      </c>
      <c r="B644" s="2" t="s">
        <v>1020</v>
      </c>
      <c r="C644" s="2" t="s">
        <v>1151</v>
      </c>
      <c r="D644" s="2" t="s">
        <v>24</v>
      </c>
      <c r="E644" s="2" t="s">
        <v>1643</v>
      </c>
    </row>
    <row r="645" customFormat="false" ht="15" hidden="false" customHeight="false" outlineLevel="0" collapsed="false">
      <c r="A645" s="2" t="n">
        <v>644</v>
      </c>
      <c r="B645" s="2" t="s">
        <v>1020</v>
      </c>
      <c r="C645" s="2" t="s">
        <v>1151</v>
      </c>
      <c r="D645" s="2" t="s">
        <v>26</v>
      </c>
      <c r="E645" s="2" t="s">
        <v>1644</v>
      </c>
    </row>
    <row r="646" customFormat="false" ht="15" hidden="false" customHeight="false" outlineLevel="0" collapsed="false">
      <c r="A646" s="2" t="n">
        <v>645</v>
      </c>
      <c r="B646" s="2" t="s">
        <v>1020</v>
      </c>
      <c r="C646" s="2" t="s">
        <v>1151</v>
      </c>
      <c r="D646" s="2" t="s">
        <v>22</v>
      </c>
      <c r="E646" s="2" t="s">
        <v>1645</v>
      </c>
    </row>
    <row r="647" customFormat="false" ht="15" hidden="false" customHeight="false" outlineLevel="0" collapsed="false">
      <c r="A647" s="2" t="n">
        <v>646</v>
      </c>
      <c r="B647" s="2" t="s">
        <v>1020</v>
      </c>
      <c r="C647" s="2" t="s">
        <v>1151</v>
      </c>
      <c r="D647" s="2" t="s">
        <v>27</v>
      </c>
      <c r="E647" s="2" t="s">
        <v>1646</v>
      </c>
    </row>
    <row r="648" customFormat="false" ht="15" hidden="false" customHeight="false" outlineLevel="0" collapsed="false">
      <c r="A648" s="2" t="n">
        <v>647</v>
      </c>
      <c r="B648" s="2" t="s">
        <v>1020</v>
      </c>
      <c r="C648" s="2" t="s">
        <v>1151</v>
      </c>
      <c r="D648" s="2" t="s">
        <v>328</v>
      </c>
      <c r="E648" s="2" t="s">
        <v>1647</v>
      </c>
    </row>
    <row r="649" customFormat="false" ht="15" hidden="false" customHeight="false" outlineLevel="0" collapsed="false">
      <c r="A649" s="2" t="n">
        <v>648</v>
      </c>
      <c r="B649" s="2" t="s">
        <v>1020</v>
      </c>
      <c r="C649" s="2" t="s">
        <v>1151</v>
      </c>
      <c r="D649" s="2" t="s">
        <v>155</v>
      </c>
      <c r="E649" s="2" t="s">
        <v>1648</v>
      </c>
    </row>
    <row r="650" customFormat="false" ht="15" hidden="false" customHeight="false" outlineLevel="0" collapsed="false">
      <c r="A650" s="2" t="n">
        <v>649</v>
      </c>
      <c r="B650" s="2" t="s">
        <v>1020</v>
      </c>
      <c r="C650" s="2" t="s">
        <v>1151</v>
      </c>
      <c r="D650" s="2" t="s">
        <v>1036</v>
      </c>
      <c r="E650" s="2" t="s">
        <v>1649</v>
      </c>
    </row>
    <row r="651" customFormat="false" ht="15" hidden="false" customHeight="false" outlineLevel="0" collapsed="false">
      <c r="A651" s="2" t="n">
        <v>650</v>
      </c>
      <c r="B651" s="2" t="s">
        <v>1020</v>
      </c>
      <c r="C651" s="2" t="s">
        <v>1151</v>
      </c>
      <c r="D651" s="2" t="s">
        <v>1038</v>
      </c>
      <c r="E651" s="2" t="s">
        <v>1649</v>
      </c>
    </row>
    <row r="652" customFormat="false" ht="15" hidden="false" customHeight="false" outlineLevel="0" collapsed="false">
      <c r="A652" s="2" t="n">
        <v>651</v>
      </c>
      <c r="B652" s="2" t="s">
        <v>1020</v>
      </c>
      <c r="C652" s="2" t="s">
        <v>1151</v>
      </c>
      <c r="D652" s="2" t="s">
        <v>1040</v>
      </c>
      <c r="E652" s="2" t="s">
        <v>1650</v>
      </c>
    </row>
    <row r="653" customFormat="false" ht="15" hidden="false" customHeight="false" outlineLevel="0" collapsed="false">
      <c r="A653" s="2" t="n">
        <v>652</v>
      </c>
      <c r="B653" s="2" t="s">
        <v>1020</v>
      </c>
      <c r="C653" s="2" t="s">
        <v>1151</v>
      </c>
      <c r="D653" s="2" t="s">
        <v>633</v>
      </c>
      <c r="E653" s="2" t="s">
        <v>1651</v>
      </c>
    </row>
    <row r="654" customFormat="false" ht="15" hidden="false" customHeight="false" outlineLevel="0" collapsed="false">
      <c r="A654" s="2" t="n">
        <v>653</v>
      </c>
      <c r="B654" s="2" t="s">
        <v>1020</v>
      </c>
      <c r="C654" s="2" t="s">
        <v>1151</v>
      </c>
      <c r="D654" s="2" t="s">
        <v>29</v>
      </c>
      <c r="E654" s="2" t="s">
        <v>1652</v>
      </c>
    </row>
    <row r="655" customFormat="false" ht="15" hidden="false" customHeight="false" outlineLevel="0" collapsed="false">
      <c r="A655" s="2" t="n">
        <v>654</v>
      </c>
      <c r="B655" s="2" t="s">
        <v>1020</v>
      </c>
      <c r="C655" s="2" t="s">
        <v>1151</v>
      </c>
      <c r="D655" s="2" t="s">
        <v>1043</v>
      </c>
      <c r="E655" s="2" t="s">
        <v>1653</v>
      </c>
    </row>
    <row r="656" customFormat="false" ht="15" hidden="false" customHeight="false" outlineLevel="0" collapsed="false">
      <c r="A656" s="2" t="n">
        <v>655</v>
      </c>
      <c r="B656" s="2" t="s">
        <v>1020</v>
      </c>
      <c r="C656" s="2" t="s">
        <v>1151</v>
      </c>
      <c r="D656" s="2" t="s">
        <v>35</v>
      </c>
      <c r="E656" s="2" t="s">
        <v>1652</v>
      </c>
    </row>
    <row r="657" customFormat="false" ht="15" hidden="false" customHeight="false" outlineLevel="0" collapsed="false">
      <c r="A657" s="2" t="n">
        <v>656</v>
      </c>
      <c r="B657" s="2" t="s">
        <v>1020</v>
      </c>
      <c r="C657" s="2" t="s">
        <v>1151</v>
      </c>
      <c r="D657" s="2" t="s">
        <v>36</v>
      </c>
      <c r="E657" s="2" t="s">
        <v>1654</v>
      </c>
    </row>
    <row r="658" customFormat="false" ht="15" hidden="false" customHeight="false" outlineLevel="0" collapsed="false">
      <c r="A658" s="2" t="n">
        <v>657</v>
      </c>
      <c r="B658" s="2" t="s">
        <v>1020</v>
      </c>
      <c r="C658" s="2" t="s">
        <v>1151</v>
      </c>
      <c r="D658" s="2" t="s">
        <v>38</v>
      </c>
      <c r="E658" s="2" t="s">
        <v>1652</v>
      </c>
    </row>
    <row r="659" customFormat="false" ht="15" hidden="false" customHeight="false" outlineLevel="0" collapsed="false">
      <c r="A659" s="2" t="n">
        <v>658</v>
      </c>
      <c r="B659" s="2" t="s">
        <v>1020</v>
      </c>
      <c r="C659" s="2" t="s">
        <v>1151</v>
      </c>
      <c r="D659" s="2" t="s">
        <v>53</v>
      </c>
      <c r="E659" s="2" t="s">
        <v>1655</v>
      </c>
    </row>
    <row r="660" customFormat="false" ht="15" hidden="false" customHeight="false" outlineLevel="0" collapsed="false">
      <c r="A660" s="2" t="n">
        <v>659</v>
      </c>
      <c r="B660" s="2" t="s">
        <v>1020</v>
      </c>
      <c r="C660" s="2" t="s">
        <v>1151</v>
      </c>
      <c r="D660" s="2" t="s">
        <v>40</v>
      </c>
      <c r="E660" s="2" t="s">
        <v>1656</v>
      </c>
    </row>
    <row r="661" customFormat="false" ht="15" hidden="false" customHeight="false" outlineLevel="0" collapsed="false">
      <c r="A661" s="2" t="n">
        <v>660</v>
      </c>
      <c r="B661" s="2" t="s">
        <v>1020</v>
      </c>
      <c r="C661" s="2" t="s">
        <v>1151</v>
      </c>
      <c r="D661" s="2" t="s">
        <v>522</v>
      </c>
      <c r="E661" s="2" t="s">
        <v>1657</v>
      </c>
    </row>
    <row r="662" customFormat="false" ht="15" hidden="false" customHeight="false" outlineLevel="0" collapsed="false">
      <c r="A662" s="2" t="n">
        <v>661</v>
      </c>
      <c r="B662" s="2" t="s">
        <v>1020</v>
      </c>
      <c r="C662" s="2" t="s">
        <v>1151</v>
      </c>
      <c r="D662" s="2" t="s">
        <v>1048</v>
      </c>
      <c r="E662" s="2" t="s">
        <v>1658</v>
      </c>
    </row>
    <row r="663" customFormat="false" ht="15" hidden="false" customHeight="false" outlineLevel="0" collapsed="false">
      <c r="A663" s="2" t="n">
        <v>662</v>
      </c>
      <c r="B663" s="2" t="s">
        <v>1020</v>
      </c>
      <c r="C663" s="2" t="s">
        <v>1151</v>
      </c>
      <c r="D663" s="2" t="s">
        <v>55</v>
      </c>
      <c r="E663" s="2" t="s">
        <v>1659</v>
      </c>
    </row>
    <row r="664" customFormat="false" ht="15" hidden="false" customHeight="false" outlineLevel="0" collapsed="false">
      <c r="A664" s="2" t="n">
        <v>663</v>
      </c>
      <c r="B664" s="2" t="s">
        <v>1020</v>
      </c>
      <c r="C664" s="2" t="s">
        <v>1151</v>
      </c>
      <c r="D664" s="2" t="s">
        <v>57</v>
      </c>
      <c r="E664" s="2" t="s">
        <v>1660</v>
      </c>
    </row>
    <row r="665" customFormat="false" ht="15" hidden="false" customHeight="false" outlineLevel="0" collapsed="false">
      <c r="A665" s="2" t="n">
        <v>664</v>
      </c>
      <c r="B665" s="2" t="s">
        <v>1020</v>
      </c>
      <c r="C665" s="2" t="s">
        <v>1151</v>
      </c>
      <c r="D665" s="2" t="s">
        <v>58</v>
      </c>
      <c r="E665" s="2" t="s">
        <v>1661</v>
      </c>
    </row>
    <row r="666" customFormat="false" ht="15" hidden="false" customHeight="false" outlineLevel="0" collapsed="false">
      <c r="A666" s="2" t="n">
        <v>665</v>
      </c>
      <c r="B666" s="2" t="s">
        <v>1020</v>
      </c>
      <c r="C666" s="2" t="s">
        <v>1151</v>
      </c>
      <c r="D666" s="2" t="s">
        <v>60</v>
      </c>
      <c r="E666" s="2" t="s">
        <v>1661</v>
      </c>
    </row>
    <row r="667" customFormat="false" ht="15" hidden="false" customHeight="false" outlineLevel="0" collapsed="false">
      <c r="A667" s="2" t="n">
        <v>666</v>
      </c>
      <c r="B667" s="2" t="s">
        <v>1020</v>
      </c>
      <c r="C667" s="2" t="s">
        <v>1151</v>
      </c>
      <c r="D667" s="2" t="s">
        <v>61</v>
      </c>
      <c r="E667" s="2" t="s">
        <v>1662</v>
      </c>
    </row>
    <row r="668" customFormat="false" ht="15" hidden="false" customHeight="false" outlineLevel="0" collapsed="false">
      <c r="A668" s="2" t="n">
        <v>667</v>
      </c>
      <c r="B668" s="2" t="s">
        <v>1020</v>
      </c>
      <c r="C668" s="2" t="s">
        <v>1151</v>
      </c>
      <c r="D668" s="2" t="s">
        <v>62</v>
      </c>
      <c r="E668" s="2" t="s">
        <v>1661</v>
      </c>
    </row>
    <row r="669" customFormat="false" ht="15" hidden="false" customHeight="false" outlineLevel="0" collapsed="false">
      <c r="A669" s="2" t="n">
        <v>668</v>
      </c>
      <c r="B669" s="2" t="s">
        <v>1020</v>
      </c>
      <c r="C669" s="2" t="s">
        <v>1151</v>
      </c>
      <c r="D669" s="2" t="s">
        <v>266</v>
      </c>
      <c r="E669" s="2" t="s">
        <v>1663</v>
      </c>
    </row>
    <row r="670" customFormat="false" ht="15" hidden="false" customHeight="false" outlineLevel="0" collapsed="false">
      <c r="A670" s="2" t="n">
        <v>669</v>
      </c>
      <c r="B670" s="2" t="s">
        <v>1020</v>
      </c>
      <c r="C670" s="2" t="s">
        <v>1151</v>
      </c>
      <c r="D670" s="2" t="s">
        <v>1051</v>
      </c>
      <c r="E670" s="2" t="s">
        <v>1658</v>
      </c>
    </row>
    <row r="671" customFormat="false" ht="15" hidden="false" customHeight="false" outlineLevel="0" collapsed="false">
      <c r="A671" s="2" t="n">
        <v>670</v>
      </c>
      <c r="B671" s="2" t="s">
        <v>1020</v>
      </c>
      <c r="C671" s="2" t="s">
        <v>1151</v>
      </c>
      <c r="D671" s="2" t="s">
        <v>1052</v>
      </c>
      <c r="E671" s="2" t="s">
        <v>1658</v>
      </c>
    </row>
    <row r="672" customFormat="false" ht="15" hidden="false" customHeight="false" outlineLevel="0" collapsed="false">
      <c r="A672" s="2" t="n">
        <v>671</v>
      </c>
      <c r="B672" s="2" t="s">
        <v>1020</v>
      </c>
      <c r="C672" s="2" t="s">
        <v>1173</v>
      </c>
      <c r="D672" s="2" t="s">
        <v>262</v>
      </c>
      <c r="E672" s="2" t="s">
        <v>1664</v>
      </c>
    </row>
    <row r="673" customFormat="false" ht="15" hidden="false" customHeight="false" outlineLevel="0" collapsed="false">
      <c r="A673" s="2" t="n">
        <v>672</v>
      </c>
      <c r="B673" s="2" t="s">
        <v>1020</v>
      </c>
      <c r="C673" s="2" t="s">
        <v>1173</v>
      </c>
      <c r="D673" s="2" t="s">
        <v>1054</v>
      </c>
      <c r="E673" s="2" t="s">
        <v>1665</v>
      </c>
    </row>
    <row r="674" customFormat="false" ht="15" hidden="false" customHeight="false" outlineLevel="0" collapsed="false">
      <c r="A674" s="2" t="n">
        <v>673</v>
      </c>
      <c r="B674" s="2" t="s">
        <v>1020</v>
      </c>
      <c r="C674" s="2" t="s">
        <v>1173</v>
      </c>
      <c r="D674" s="2" t="s">
        <v>187</v>
      </c>
      <c r="E674" s="2" t="s">
        <v>1666</v>
      </c>
    </row>
    <row r="675" customFormat="false" ht="15" hidden="false" customHeight="false" outlineLevel="0" collapsed="false">
      <c r="A675" s="2" t="n">
        <v>674</v>
      </c>
      <c r="B675" s="2" t="s">
        <v>1020</v>
      </c>
      <c r="C675" s="2" t="s">
        <v>1173</v>
      </c>
      <c r="D675" s="2" t="s">
        <v>654</v>
      </c>
      <c r="E675" s="2" t="s">
        <v>1336</v>
      </c>
    </row>
    <row r="676" customFormat="false" ht="15" hidden="false" customHeight="false" outlineLevel="0" collapsed="false">
      <c r="A676" s="2" t="n">
        <v>675</v>
      </c>
      <c r="B676" s="2" t="s">
        <v>1020</v>
      </c>
      <c r="C676" s="2" t="s">
        <v>1173</v>
      </c>
      <c r="D676" s="2" t="s">
        <v>1058</v>
      </c>
      <c r="E676" s="2" t="s">
        <v>1336</v>
      </c>
    </row>
    <row r="677" customFormat="false" ht="15" hidden="false" customHeight="false" outlineLevel="0" collapsed="false">
      <c r="A677" s="2" t="n">
        <v>676</v>
      </c>
      <c r="B677" s="2" t="s">
        <v>1020</v>
      </c>
      <c r="C677" s="2" t="s">
        <v>1173</v>
      </c>
      <c r="D677" s="2" t="s">
        <v>1060</v>
      </c>
      <c r="E677" s="2" t="s">
        <v>1336</v>
      </c>
    </row>
    <row r="678" customFormat="false" ht="15" hidden="false" customHeight="false" outlineLevel="0" collapsed="false">
      <c r="A678" s="2" t="n">
        <v>677</v>
      </c>
      <c r="B678" s="2" t="s">
        <v>1020</v>
      </c>
      <c r="C678" s="2" t="s">
        <v>1151</v>
      </c>
      <c r="D678" s="2" t="s">
        <v>1061</v>
      </c>
      <c r="E678" s="2" t="s">
        <v>1524</v>
      </c>
    </row>
    <row r="679" customFormat="false" ht="15" hidden="false" customHeight="false" outlineLevel="0" collapsed="false">
      <c r="A679" s="2" t="n">
        <v>678</v>
      </c>
      <c r="B679" s="2" t="s">
        <v>1020</v>
      </c>
      <c r="C679" s="2" t="s">
        <v>1151</v>
      </c>
      <c r="D679" s="2" t="s">
        <v>1062</v>
      </c>
      <c r="E679" s="2" t="s">
        <v>1667</v>
      </c>
    </row>
    <row r="680" customFormat="false" ht="15" hidden="false" customHeight="false" outlineLevel="0" collapsed="false">
      <c r="A680" s="2" t="n">
        <v>679</v>
      </c>
      <c r="B680" s="2" t="s">
        <v>1020</v>
      </c>
      <c r="C680" s="2" t="s">
        <v>1151</v>
      </c>
      <c r="D680" s="2" t="s">
        <v>1064</v>
      </c>
      <c r="E680" s="2" t="s">
        <v>1668</v>
      </c>
    </row>
    <row r="681" customFormat="false" ht="15" hidden="false" customHeight="false" outlineLevel="0" collapsed="false">
      <c r="A681" s="2" t="n">
        <v>680</v>
      </c>
      <c r="B681" s="2" t="s">
        <v>1020</v>
      </c>
      <c r="C681" s="2" t="s">
        <v>1151</v>
      </c>
      <c r="D681" s="2" t="s">
        <v>86</v>
      </c>
      <c r="E681" s="2" t="s">
        <v>1669</v>
      </c>
    </row>
    <row r="682" customFormat="false" ht="15" hidden="false" customHeight="false" outlineLevel="0" collapsed="false">
      <c r="A682" s="2" t="n">
        <v>681</v>
      </c>
      <c r="B682" s="2" t="s">
        <v>1020</v>
      </c>
      <c r="C682" s="2" t="s">
        <v>1151</v>
      </c>
      <c r="D682" s="2" t="s">
        <v>1067</v>
      </c>
      <c r="E682" s="2" t="s">
        <v>1670</v>
      </c>
    </row>
    <row r="683" customFormat="false" ht="15" hidden="false" customHeight="false" outlineLevel="0" collapsed="false">
      <c r="A683" s="2" t="n">
        <v>682</v>
      </c>
      <c r="B683" s="2" t="s">
        <v>1020</v>
      </c>
      <c r="C683" s="2" t="s">
        <v>1151</v>
      </c>
      <c r="D683" s="2" t="s">
        <v>1069</v>
      </c>
      <c r="E683" s="2" t="s">
        <v>1642</v>
      </c>
    </row>
    <row r="684" customFormat="false" ht="15" hidden="false" customHeight="false" outlineLevel="0" collapsed="false">
      <c r="A684" s="2" t="n">
        <v>683</v>
      </c>
      <c r="B684" s="2" t="s">
        <v>1020</v>
      </c>
      <c r="C684" s="2" t="s">
        <v>1151</v>
      </c>
      <c r="D684" s="2" t="s">
        <v>1071</v>
      </c>
      <c r="E684" s="2" t="s">
        <v>1671</v>
      </c>
    </row>
    <row r="685" customFormat="false" ht="15" hidden="false" customHeight="false" outlineLevel="0" collapsed="false">
      <c r="A685" s="2" t="n">
        <v>684</v>
      </c>
      <c r="B685" s="2" t="s">
        <v>1020</v>
      </c>
      <c r="C685" s="2" t="s">
        <v>1151</v>
      </c>
      <c r="D685" s="2" t="s">
        <v>1073</v>
      </c>
      <c r="E685" s="2" t="s">
        <v>1672</v>
      </c>
    </row>
    <row r="686" customFormat="false" ht="15" hidden="false" customHeight="false" outlineLevel="0" collapsed="false">
      <c r="A686" s="2" t="n">
        <v>685</v>
      </c>
      <c r="B686" s="2" t="s">
        <v>1020</v>
      </c>
      <c r="C686" s="2" t="s">
        <v>1151</v>
      </c>
      <c r="D686" s="2" t="s">
        <v>1075</v>
      </c>
      <c r="E686" s="2" t="s">
        <v>1673</v>
      </c>
    </row>
    <row r="687" customFormat="false" ht="15" hidden="false" customHeight="false" outlineLevel="0" collapsed="false">
      <c r="A687" s="2" t="n">
        <v>686</v>
      </c>
      <c r="B687" s="2" t="s">
        <v>1020</v>
      </c>
      <c r="C687" s="2" t="s">
        <v>1151</v>
      </c>
      <c r="D687" s="2" t="s">
        <v>1077</v>
      </c>
      <c r="E687" s="2" t="s">
        <v>1674</v>
      </c>
    </row>
    <row r="688" customFormat="false" ht="15" hidden="false" customHeight="false" outlineLevel="0" collapsed="false">
      <c r="A688" s="2" t="n">
        <v>687</v>
      </c>
      <c r="B688" s="2" t="s">
        <v>1020</v>
      </c>
      <c r="C688" s="2" t="s">
        <v>1151</v>
      </c>
      <c r="D688" s="2" t="s">
        <v>1079</v>
      </c>
      <c r="E688" s="2" t="s">
        <v>1675</v>
      </c>
    </row>
    <row r="689" customFormat="false" ht="15" hidden="false" customHeight="false" outlineLevel="0" collapsed="false">
      <c r="A689" s="2" t="n">
        <v>688</v>
      </c>
      <c r="B689" s="2" t="s">
        <v>1020</v>
      </c>
      <c r="C689" s="2" t="s">
        <v>1151</v>
      </c>
      <c r="D689" s="2" t="s">
        <v>1081</v>
      </c>
      <c r="E689" s="2" t="s">
        <v>1676</v>
      </c>
    </row>
    <row r="690" customFormat="false" ht="15" hidden="false" customHeight="false" outlineLevel="0" collapsed="false">
      <c r="A690" s="2" t="n">
        <v>689</v>
      </c>
      <c r="B690" s="2" t="s">
        <v>1020</v>
      </c>
      <c r="C690" s="2" t="s">
        <v>1151</v>
      </c>
      <c r="D690" s="2" t="s">
        <v>1083</v>
      </c>
      <c r="E690" s="2" t="s">
        <v>1677</v>
      </c>
    </row>
    <row r="691" customFormat="false" ht="15" hidden="false" customHeight="false" outlineLevel="0" collapsed="false">
      <c r="A691" s="2" t="n">
        <v>690</v>
      </c>
      <c r="B691" s="2" t="s">
        <v>1020</v>
      </c>
      <c r="C691" s="2" t="s">
        <v>1151</v>
      </c>
      <c r="D691" s="2" t="s">
        <v>1085</v>
      </c>
      <c r="E691" s="2" t="s">
        <v>1678</v>
      </c>
    </row>
    <row r="692" customFormat="false" ht="15" hidden="false" customHeight="false" outlineLevel="0" collapsed="false">
      <c r="A692" s="2" t="n">
        <v>691</v>
      </c>
      <c r="B692" s="2" t="s">
        <v>1020</v>
      </c>
      <c r="C692" s="2" t="s">
        <v>1151</v>
      </c>
      <c r="D692" s="2" t="s">
        <v>1087</v>
      </c>
      <c r="E692" s="2" t="s">
        <v>1679</v>
      </c>
    </row>
    <row r="693" customFormat="false" ht="15" hidden="false" customHeight="false" outlineLevel="0" collapsed="false">
      <c r="A693" s="2" t="n">
        <v>692</v>
      </c>
      <c r="B693" s="2" t="s">
        <v>1020</v>
      </c>
      <c r="C693" s="2" t="s">
        <v>1151</v>
      </c>
      <c r="D693" s="2" t="s">
        <v>1089</v>
      </c>
      <c r="E693" s="2" t="s">
        <v>1680</v>
      </c>
    </row>
    <row r="694" customFormat="false" ht="15" hidden="false" customHeight="false" outlineLevel="0" collapsed="false">
      <c r="A694" s="2" t="n">
        <v>693</v>
      </c>
      <c r="B694" s="2" t="s">
        <v>1020</v>
      </c>
      <c r="C694" s="2" t="s">
        <v>1151</v>
      </c>
      <c r="D694" s="2" t="s">
        <v>1091</v>
      </c>
      <c r="E694" s="2" t="s">
        <v>1681</v>
      </c>
    </row>
    <row r="695" customFormat="false" ht="15" hidden="false" customHeight="false" outlineLevel="0" collapsed="false">
      <c r="A695" s="2" t="n">
        <v>694</v>
      </c>
      <c r="B695" s="2" t="s">
        <v>1020</v>
      </c>
      <c r="C695" s="2" t="s">
        <v>1153</v>
      </c>
      <c r="D695" s="2" t="s">
        <v>1093</v>
      </c>
      <c r="E695" s="2" t="s">
        <v>1682</v>
      </c>
    </row>
    <row r="696" customFormat="false" ht="15" hidden="false" customHeight="false" outlineLevel="0" collapsed="false">
      <c r="A696" s="2" t="n">
        <v>695</v>
      </c>
      <c r="B696" s="2" t="s">
        <v>1020</v>
      </c>
      <c r="C696" s="2" t="s">
        <v>1153</v>
      </c>
      <c r="D696" s="2" t="s">
        <v>1095</v>
      </c>
      <c r="E696" s="2" t="s">
        <v>1683</v>
      </c>
    </row>
    <row r="697" customFormat="false" ht="15" hidden="false" customHeight="false" outlineLevel="0" collapsed="false">
      <c r="A697" s="2" t="n">
        <v>696</v>
      </c>
      <c r="B697" s="2" t="s">
        <v>1020</v>
      </c>
      <c r="C697" s="2" t="s">
        <v>1153</v>
      </c>
      <c r="D697" s="2" t="s">
        <v>1097</v>
      </c>
      <c r="E697" s="2" t="s">
        <v>1684</v>
      </c>
    </row>
    <row r="698" customFormat="false" ht="15" hidden="false" customHeight="false" outlineLevel="0" collapsed="false">
      <c r="A698" s="2" t="n">
        <v>697</v>
      </c>
      <c r="B698" s="2" t="s">
        <v>1100</v>
      </c>
      <c r="C698" s="2" t="s">
        <v>1151</v>
      </c>
      <c r="D698" s="2" t="s">
        <v>6</v>
      </c>
      <c r="E698" s="2" t="s">
        <v>1685</v>
      </c>
    </row>
    <row r="699" customFormat="false" ht="15" hidden="false" customHeight="false" outlineLevel="0" collapsed="false">
      <c r="A699" s="2" t="n">
        <v>698</v>
      </c>
      <c r="B699" s="2" t="s">
        <v>1100</v>
      </c>
      <c r="C699" s="2" t="s">
        <v>1151</v>
      </c>
      <c r="D699" s="2" t="s">
        <v>12</v>
      </c>
      <c r="E699" s="2" t="s">
        <v>1686</v>
      </c>
    </row>
    <row r="700" customFormat="false" ht="15" hidden="false" customHeight="false" outlineLevel="0" collapsed="false">
      <c r="A700" s="2" t="n">
        <v>699</v>
      </c>
      <c r="B700" s="2" t="s">
        <v>1100</v>
      </c>
      <c r="C700" s="2" t="s">
        <v>1151</v>
      </c>
      <c r="D700" s="2" t="s">
        <v>20</v>
      </c>
      <c r="E700" s="2" t="s">
        <v>1687</v>
      </c>
    </row>
    <row r="701" customFormat="false" ht="15" hidden="false" customHeight="false" outlineLevel="0" collapsed="false">
      <c r="A701" s="2" t="n">
        <v>700</v>
      </c>
      <c r="B701" s="2" t="s">
        <v>1100</v>
      </c>
      <c r="C701" s="2" t="s">
        <v>1151</v>
      </c>
      <c r="D701" s="2" t="s">
        <v>18</v>
      </c>
      <c r="E701" s="2" t="s">
        <v>1688</v>
      </c>
    </row>
    <row r="702" customFormat="false" ht="15" hidden="false" customHeight="false" outlineLevel="0" collapsed="false">
      <c r="A702" s="2" t="n">
        <v>701</v>
      </c>
      <c r="B702" s="2" t="s">
        <v>1100</v>
      </c>
      <c r="C702" s="2" t="s">
        <v>1151</v>
      </c>
      <c r="D702" s="2" t="s">
        <v>24</v>
      </c>
      <c r="E702" s="2" t="s">
        <v>1689</v>
      </c>
    </row>
    <row r="703" customFormat="false" ht="15" hidden="false" customHeight="false" outlineLevel="0" collapsed="false">
      <c r="A703" s="2" t="n">
        <v>702</v>
      </c>
      <c r="B703" s="2" t="s">
        <v>1100</v>
      </c>
      <c r="C703" s="2" t="s">
        <v>1151</v>
      </c>
      <c r="D703" s="2" t="s">
        <v>26</v>
      </c>
      <c r="E703" s="2" t="s">
        <v>1689</v>
      </c>
    </row>
    <row r="704" customFormat="false" ht="15" hidden="false" customHeight="false" outlineLevel="0" collapsed="false">
      <c r="A704" s="2" t="n">
        <v>703</v>
      </c>
      <c r="B704" s="2" t="s">
        <v>1100</v>
      </c>
      <c r="C704" s="2" t="s">
        <v>1151</v>
      </c>
      <c r="D704" s="2" t="s">
        <v>22</v>
      </c>
      <c r="E704" s="2" t="s">
        <v>1690</v>
      </c>
    </row>
    <row r="705" customFormat="false" ht="15" hidden="false" customHeight="false" outlineLevel="0" collapsed="false">
      <c r="A705" s="2" t="n">
        <v>704</v>
      </c>
      <c r="B705" s="2" t="s">
        <v>1100</v>
      </c>
      <c r="C705" s="2" t="s">
        <v>1151</v>
      </c>
      <c r="D705" s="2" t="s">
        <v>27</v>
      </c>
      <c r="E705" s="2" t="s">
        <v>1691</v>
      </c>
    </row>
    <row r="706" customFormat="false" ht="15" hidden="false" customHeight="false" outlineLevel="0" collapsed="false">
      <c r="A706" s="2" t="n">
        <v>705</v>
      </c>
      <c r="B706" s="2" t="s">
        <v>1100</v>
      </c>
      <c r="C706" s="2" t="s">
        <v>1151</v>
      </c>
      <c r="D706" s="2" t="s">
        <v>16</v>
      </c>
      <c r="E706" s="2" t="s">
        <v>1692</v>
      </c>
    </row>
    <row r="707" customFormat="false" ht="15" hidden="false" customHeight="false" outlineLevel="0" collapsed="false">
      <c r="A707" s="2" t="n">
        <v>706</v>
      </c>
      <c r="B707" s="2" t="s">
        <v>1100</v>
      </c>
      <c r="C707" s="2" t="s">
        <v>1151</v>
      </c>
      <c r="D707" s="2" t="s">
        <v>320</v>
      </c>
      <c r="E707" s="2" t="s">
        <v>1693</v>
      </c>
    </row>
    <row r="708" customFormat="false" ht="15" hidden="false" customHeight="false" outlineLevel="0" collapsed="false">
      <c r="A708" s="2" t="n">
        <v>707</v>
      </c>
      <c r="B708" s="2" t="s">
        <v>1100</v>
      </c>
      <c r="C708" s="2" t="s">
        <v>1151</v>
      </c>
      <c r="D708" s="2" t="s">
        <v>1107</v>
      </c>
      <c r="E708" s="2" t="s">
        <v>1694</v>
      </c>
    </row>
    <row r="709" customFormat="false" ht="15" hidden="false" customHeight="false" outlineLevel="0" collapsed="false">
      <c r="A709" s="2" t="n">
        <v>708</v>
      </c>
      <c r="B709" s="2" t="s">
        <v>1100</v>
      </c>
      <c r="C709" s="2" t="s">
        <v>1151</v>
      </c>
      <c r="D709" s="2" t="s">
        <v>55</v>
      </c>
      <c r="E709" s="2" t="s">
        <v>1695</v>
      </c>
    </row>
    <row r="710" customFormat="false" ht="15" hidden="false" customHeight="false" outlineLevel="0" collapsed="false">
      <c r="A710" s="2" t="n">
        <v>709</v>
      </c>
      <c r="B710" s="2" t="s">
        <v>1100</v>
      </c>
      <c r="C710" s="2" t="s">
        <v>1151</v>
      </c>
      <c r="D710" s="2" t="s">
        <v>57</v>
      </c>
      <c r="E710" s="2" t="s">
        <v>1696</v>
      </c>
    </row>
    <row r="711" customFormat="false" ht="15" hidden="false" customHeight="false" outlineLevel="0" collapsed="false">
      <c r="A711" s="2" t="n">
        <v>710</v>
      </c>
      <c r="B711" s="2" t="s">
        <v>1100</v>
      </c>
      <c r="C711" s="2" t="s">
        <v>1151</v>
      </c>
      <c r="D711" s="2" t="s">
        <v>1110</v>
      </c>
      <c r="E711" s="2" t="s">
        <v>1697</v>
      </c>
    </row>
    <row r="712" customFormat="false" ht="15" hidden="false" customHeight="false" outlineLevel="0" collapsed="false">
      <c r="A712" s="2" t="n">
        <v>711</v>
      </c>
      <c r="B712" s="2" t="s">
        <v>1100</v>
      </c>
      <c r="C712" s="2" t="s">
        <v>1153</v>
      </c>
      <c r="D712" s="2" t="s">
        <v>947</v>
      </c>
      <c r="E712" s="2" t="s">
        <v>1698</v>
      </c>
    </row>
    <row r="713" customFormat="false" ht="15" hidden="false" customHeight="false" outlineLevel="0" collapsed="false">
      <c r="A713" s="2" t="n">
        <v>712</v>
      </c>
      <c r="B713" s="2" t="s">
        <v>1100</v>
      </c>
      <c r="C713" s="2" t="s">
        <v>1153</v>
      </c>
      <c r="D713" s="2" t="s">
        <v>949</v>
      </c>
      <c r="E713" s="2" t="s">
        <v>1699</v>
      </c>
    </row>
    <row r="714" customFormat="false" ht="15" hidden="false" customHeight="false" outlineLevel="0" collapsed="false">
      <c r="A714" s="2" t="n">
        <v>713</v>
      </c>
      <c r="B714" s="2" t="s">
        <v>1100</v>
      </c>
      <c r="C714" s="2" t="s">
        <v>1153</v>
      </c>
      <c r="D714" s="2" t="s">
        <v>950</v>
      </c>
      <c r="E714" s="2" t="s">
        <v>1699</v>
      </c>
    </row>
    <row r="715" customFormat="false" ht="15" hidden="false" customHeight="false" outlineLevel="0" collapsed="false">
      <c r="A715" s="2" t="n">
        <v>714</v>
      </c>
      <c r="B715" s="2" t="s">
        <v>1100</v>
      </c>
      <c r="C715" s="2" t="s">
        <v>1173</v>
      </c>
      <c r="D715" s="2" t="s">
        <v>155</v>
      </c>
      <c r="E715" s="2" t="s">
        <v>1700</v>
      </c>
    </row>
    <row r="716" customFormat="false" ht="15" hidden="false" customHeight="false" outlineLevel="0" collapsed="false">
      <c r="A716" s="2" t="n">
        <v>715</v>
      </c>
      <c r="B716" s="2" t="s">
        <v>1100</v>
      </c>
      <c r="C716" s="2" t="s">
        <v>1173</v>
      </c>
      <c r="D716" s="2" t="s">
        <v>1025</v>
      </c>
      <c r="E716" s="2" t="s">
        <v>1701</v>
      </c>
    </row>
    <row r="717" customFormat="false" ht="15" hidden="false" customHeight="false" outlineLevel="0" collapsed="false">
      <c r="A717" s="2" t="n">
        <v>716</v>
      </c>
      <c r="B717" s="2" t="s">
        <v>1100</v>
      </c>
      <c r="C717" s="2" t="s">
        <v>1173</v>
      </c>
      <c r="D717" s="2" t="s">
        <v>1115</v>
      </c>
      <c r="E717" s="2" t="s">
        <v>1702</v>
      </c>
    </row>
    <row r="718" customFormat="false" ht="15" hidden="false" customHeight="false" outlineLevel="0" collapsed="false">
      <c r="A718" s="2" t="n">
        <v>717</v>
      </c>
      <c r="B718" s="2" t="s">
        <v>1100</v>
      </c>
      <c r="C718" s="2" t="s">
        <v>1173</v>
      </c>
      <c r="D718" s="2" t="s">
        <v>262</v>
      </c>
      <c r="E718" s="2" t="s">
        <v>1703</v>
      </c>
    </row>
    <row r="719" customFormat="false" ht="15" hidden="false" customHeight="false" outlineLevel="0" collapsed="false">
      <c r="A719" s="2" t="n">
        <v>718</v>
      </c>
      <c r="B719" s="2" t="s">
        <v>1100</v>
      </c>
      <c r="C719" s="2" t="s">
        <v>1173</v>
      </c>
      <c r="D719" s="2" t="s">
        <v>53</v>
      </c>
      <c r="E719" s="2" t="s">
        <v>1704</v>
      </c>
    </row>
    <row r="720" customFormat="false" ht="15" hidden="false" customHeight="false" outlineLevel="0" collapsed="false">
      <c r="A720" s="2" t="n">
        <v>719</v>
      </c>
      <c r="B720" s="2" t="s">
        <v>1100</v>
      </c>
      <c r="C720" s="2" t="s">
        <v>1173</v>
      </c>
      <c r="D720" s="2" t="s">
        <v>40</v>
      </c>
      <c r="E720" s="2" t="s">
        <v>1705</v>
      </c>
    </row>
    <row r="721" customFormat="false" ht="15" hidden="false" customHeight="false" outlineLevel="0" collapsed="false">
      <c r="A721" s="2" t="n">
        <v>720</v>
      </c>
      <c r="B721" s="2" t="s">
        <v>1100</v>
      </c>
      <c r="C721" s="2" t="s">
        <v>1173</v>
      </c>
      <c r="D721" s="2" t="s">
        <v>414</v>
      </c>
      <c r="E721" s="2" t="s">
        <v>1706</v>
      </c>
    </row>
    <row r="722" customFormat="false" ht="15" hidden="false" customHeight="false" outlineLevel="0" collapsed="false">
      <c r="A722" s="2" t="n">
        <v>721</v>
      </c>
      <c r="B722" s="2" t="s">
        <v>1100</v>
      </c>
      <c r="C722" s="2" t="s">
        <v>1173</v>
      </c>
      <c r="D722" s="2" t="s">
        <v>397</v>
      </c>
      <c r="E722" s="2" t="s">
        <v>1707</v>
      </c>
    </row>
    <row r="723" customFormat="false" ht="15" hidden="false" customHeight="false" outlineLevel="0" collapsed="false">
      <c r="A723" s="2" t="n">
        <v>722</v>
      </c>
      <c r="B723" s="2" t="s">
        <v>1100</v>
      </c>
      <c r="C723" s="2" t="s">
        <v>1173</v>
      </c>
      <c r="D723" s="2" t="s">
        <v>413</v>
      </c>
      <c r="E723" s="2" t="s">
        <v>1707</v>
      </c>
    </row>
    <row r="724" customFormat="false" ht="15" hidden="false" customHeight="false" outlineLevel="0" collapsed="false">
      <c r="A724" s="2" t="n">
        <v>723</v>
      </c>
      <c r="B724" s="2" t="s">
        <v>1100</v>
      </c>
      <c r="C724" s="2" t="s">
        <v>1173</v>
      </c>
      <c r="D724" s="2" t="s">
        <v>403</v>
      </c>
      <c r="E724" s="2" t="s">
        <v>1708</v>
      </c>
    </row>
    <row r="725" customFormat="false" ht="15" hidden="false" customHeight="false" outlineLevel="0" collapsed="false">
      <c r="A725" s="2" t="n">
        <v>724</v>
      </c>
      <c r="B725" s="2" t="s">
        <v>1100</v>
      </c>
      <c r="C725" s="2" t="s">
        <v>1173</v>
      </c>
      <c r="D725" s="2" t="s">
        <v>1124</v>
      </c>
      <c r="E725" s="2" t="s">
        <v>1708</v>
      </c>
    </row>
    <row r="726" customFormat="false" ht="15" hidden="false" customHeight="false" outlineLevel="0" collapsed="false">
      <c r="A726" s="2" t="n">
        <v>725</v>
      </c>
      <c r="B726" s="2" t="s">
        <v>1100</v>
      </c>
      <c r="C726" s="2" t="s">
        <v>1173</v>
      </c>
      <c r="D726" s="2" t="s">
        <v>1126</v>
      </c>
      <c r="E726" s="2" t="s">
        <v>1709</v>
      </c>
    </row>
    <row r="727" customFormat="false" ht="15" hidden="false" customHeight="false" outlineLevel="0" collapsed="false">
      <c r="A727" s="2" t="n">
        <v>726</v>
      </c>
      <c r="B727" s="2" t="s">
        <v>1100</v>
      </c>
      <c r="C727" s="2" t="s">
        <v>1151</v>
      </c>
      <c r="D727" s="2" t="s">
        <v>82</v>
      </c>
      <c r="E727" s="2" t="s">
        <v>1686</v>
      </c>
    </row>
    <row r="728" customFormat="false" ht="15" hidden="false" customHeight="false" outlineLevel="0" collapsed="false">
      <c r="A728" s="2" t="n">
        <v>727</v>
      </c>
      <c r="B728" s="2" t="s">
        <v>1100</v>
      </c>
      <c r="C728" s="2" t="s">
        <v>1151</v>
      </c>
      <c r="D728" s="2" t="s">
        <v>1128</v>
      </c>
      <c r="E728" s="2" t="s">
        <v>1688</v>
      </c>
    </row>
    <row r="729" customFormat="false" ht="15" hidden="false" customHeight="false" outlineLevel="0" collapsed="false">
      <c r="A729" s="2" t="n">
        <v>728</v>
      </c>
      <c r="B729" s="2" t="s">
        <v>1100</v>
      </c>
      <c r="C729" s="2" t="s">
        <v>1151</v>
      </c>
      <c r="D729" s="2" t="s">
        <v>1130</v>
      </c>
      <c r="E729" s="2" t="s">
        <v>1710</v>
      </c>
    </row>
    <row r="730" customFormat="false" ht="15" hidden="false" customHeight="false" outlineLevel="0" collapsed="false">
      <c r="A730" s="2" t="n">
        <v>729</v>
      </c>
      <c r="B730" s="2" t="s">
        <v>1100</v>
      </c>
      <c r="C730" s="2" t="s">
        <v>1151</v>
      </c>
      <c r="D730" s="2" t="s">
        <v>114</v>
      </c>
      <c r="E730" s="2" t="s">
        <v>1711</v>
      </c>
    </row>
    <row r="731" customFormat="false" ht="15" hidden="false" customHeight="false" outlineLevel="0" collapsed="false">
      <c r="A731" s="2" t="n">
        <v>730</v>
      </c>
      <c r="B731" s="2" t="s">
        <v>1100</v>
      </c>
      <c r="C731" s="2" t="s">
        <v>1151</v>
      </c>
      <c r="D731" s="2" t="s">
        <v>1133</v>
      </c>
      <c r="E731" s="2" t="s">
        <v>1712</v>
      </c>
    </row>
    <row r="732" customFormat="false" ht="15" hidden="false" customHeight="false" outlineLevel="0" collapsed="false">
      <c r="A732" s="2" t="n">
        <v>731</v>
      </c>
      <c r="B732" s="2" t="s">
        <v>1100</v>
      </c>
      <c r="C732" s="2" t="s">
        <v>1151</v>
      </c>
      <c r="D732" s="2" t="s">
        <v>1135</v>
      </c>
      <c r="E732" s="2" t="s">
        <v>1694</v>
      </c>
    </row>
    <row r="733" customFormat="false" ht="15" hidden="false" customHeight="false" outlineLevel="0" collapsed="false">
      <c r="A733" s="2" t="n">
        <v>732</v>
      </c>
      <c r="B733" s="2" t="s">
        <v>1100</v>
      </c>
      <c r="C733" s="2" t="s">
        <v>1151</v>
      </c>
      <c r="D733" s="2" t="s">
        <v>1137</v>
      </c>
      <c r="E733" s="2" t="s">
        <v>1713</v>
      </c>
    </row>
    <row r="734" customFormat="false" ht="15" hidden="false" customHeight="false" outlineLevel="0" collapsed="false">
      <c r="A734" s="2" t="n">
        <v>733</v>
      </c>
      <c r="B734" s="2" t="s">
        <v>1100</v>
      </c>
      <c r="C734" s="2" t="s">
        <v>1151</v>
      </c>
      <c r="D734" s="2" t="s">
        <v>1139</v>
      </c>
      <c r="E734" s="2" t="s">
        <v>1714</v>
      </c>
    </row>
    <row r="735" customFormat="false" ht="15" hidden="false" customHeight="false" outlineLevel="0" collapsed="false">
      <c r="A735" s="2" t="n">
        <v>734</v>
      </c>
      <c r="B735" s="2" t="s">
        <v>1100</v>
      </c>
      <c r="C735" s="2" t="s">
        <v>1151</v>
      </c>
      <c r="D735" s="2" t="s">
        <v>778</v>
      </c>
      <c r="E735" s="2" t="s">
        <v>1715</v>
      </c>
    </row>
    <row r="736" customFormat="false" ht="15" hidden="false" customHeight="false" outlineLevel="0" collapsed="false">
      <c r="A736" s="2" t="n">
        <v>735</v>
      </c>
      <c r="B736" s="2" t="s">
        <v>1100</v>
      </c>
      <c r="C736" s="2" t="s">
        <v>1151</v>
      </c>
      <c r="D736" s="2" t="s">
        <v>1011</v>
      </c>
      <c r="E736" s="2" t="s">
        <v>1716</v>
      </c>
    </row>
    <row r="737" customFormat="false" ht="15" hidden="false" customHeight="false" outlineLevel="0" collapsed="false">
      <c r="A737" s="2" t="n">
        <v>736</v>
      </c>
      <c r="B737" s="2" t="s">
        <v>1100</v>
      </c>
      <c r="C737" s="2" t="s">
        <v>1153</v>
      </c>
      <c r="D737" s="2" t="s">
        <v>1143</v>
      </c>
      <c r="E737" s="2" t="s">
        <v>1717</v>
      </c>
    </row>
    <row r="738" customFormat="false" ht="15" hidden="false" customHeight="false" outlineLevel="0" collapsed="false">
      <c r="A738" s="2" t="n">
        <v>737</v>
      </c>
      <c r="B738" s="2" t="s">
        <v>1100</v>
      </c>
      <c r="C738" s="2" t="s">
        <v>1153</v>
      </c>
      <c r="D738" s="2" t="s">
        <v>1145</v>
      </c>
      <c r="E738" s="2" t="s">
        <v>1718</v>
      </c>
    </row>
    <row r="739" customFormat="false" ht="15" hidden="false" customHeight="false" outlineLevel="0" collapsed="false">
      <c r="A739" s="2" t="n">
        <v>738</v>
      </c>
      <c r="B739" s="2" t="s">
        <v>1100</v>
      </c>
      <c r="C739" s="2" t="s">
        <v>1173</v>
      </c>
      <c r="D739" s="2" t="s">
        <v>1147</v>
      </c>
      <c r="E739" s="2" t="s">
        <v>1498</v>
      </c>
    </row>
  </sheetData>
  <conditionalFormatting sqref="A2:E1000">
    <cfRule type="expression" priority="2" aboveAverage="0" equalAverage="0" bottom="0" percent="0" rank="0" text="" dxfId="7">
      <formula>$C2="Match"</formula>
    </cfRule>
    <cfRule type="expression" priority="3" aboveAverage="0" equalAverage="0" bottom="0" percent="0" rank="0" text="" dxfId="8">
      <formula>$C2="Prep only"</formula>
    </cfRule>
    <cfRule type="expression" priority="4" aboveAverage="0" equalAverage="0" bottom="0" percent="0" rank="0" text="" dxfId="9">
      <formula>$C2="Draft only"</formula>
    </cfRule>
  </conditionalFormatting>
  <dataValidations count="2">
    <dataValidation allowBlank="true" errorStyle="stop" operator="between" showDropDown="false" showErrorMessage="false" showInputMessage="false" sqref="B2:B1000" type="list">
      <formula1>"GR,CL,PE,QW,TE,CO,LE,DE,KI,GE,ME,GP"</formula1>
      <formula2>0</formula2>
    </dataValidation>
    <dataValidation allowBlank="true" errorStyle="stop" operator="between" showDropDown="false" showErrorMessage="false" showInputMessage="false" sqref="C2:C1000" type="list">
      <formula1>"Match,Prep only,Draft only"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4" min="3" style="0" width="10"/>
    <col collapsed="false" customWidth="true" hidden="false" outlineLevel="0" max="5" min="5" style="0" width="14"/>
    <col collapsed="false" customWidth="true" hidden="false" outlineLevel="0" max="6" min="6" style="0" width="45"/>
  </cols>
  <sheetData>
    <row r="1" customFormat="false" ht="27.75" hidden="false" customHeight="true" outlineLevel="0" collapsed="false">
      <c r="A1" s="1" t="s">
        <v>4</v>
      </c>
      <c r="B1" s="1" t="s">
        <v>1719</v>
      </c>
      <c r="C1" s="1" t="s">
        <v>1720</v>
      </c>
      <c r="D1" s="1" t="s">
        <v>1721</v>
      </c>
      <c r="E1" s="1" t="s">
        <v>1722</v>
      </c>
      <c r="F1" s="1" t="s">
        <v>1723</v>
      </c>
    </row>
    <row r="2" customFormat="false" ht="15" hidden="false" customHeight="false" outlineLevel="0" collapsed="false">
      <c r="A2" s="2" t="s">
        <v>254</v>
      </c>
      <c r="B2" s="2" t="s">
        <v>1724</v>
      </c>
      <c r="C2" s="2" t="n">
        <v>21</v>
      </c>
      <c r="D2" s="2" t="n">
        <v>25</v>
      </c>
      <c r="E2" s="2" t="n">
        <v>89.7</v>
      </c>
      <c r="F2" s="2" t="s">
        <v>1725</v>
      </c>
    </row>
    <row r="3" customFormat="false" ht="15" hidden="false" customHeight="false" outlineLevel="0" collapsed="false">
      <c r="A3" s="2" t="s">
        <v>9</v>
      </c>
      <c r="B3" s="2" t="s">
        <v>1726</v>
      </c>
      <c r="C3" s="2" t="n">
        <v>30</v>
      </c>
      <c r="D3" s="2" t="n">
        <v>33</v>
      </c>
      <c r="E3" s="2" t="n">
        <v>91.7</v>
      </c>
      <c r="F3" s="2" t="s">
        <v>1727</v>
      </c>
    </row>
    <row r="4" customFormat="false" ht="15" hidden="false" customHeight="false" outlineLevel="0" collapsed="false">
      <c r="A4" s="2" t="s">
        <v>731</v>
      </c>
      <c r="B4" s="2" t="s">
        <v>1728</v>
      </c>
      <c r="C4" s="2" t="n">
        <v>23</v>
      </c>
      <c r="D4" s="2" t="n">
        <v>24</v>
      </c>
      <c r="E4" s="2" t="n">
        <v>88.4</v>
      </c>
      <c r="F4" s="2" t="s">
        <v>1729</v>
      </c>
    </row>
    <row r="5" customFormat="false" ht="15" hidden="false" customHeight="false" outlineLevel="0" collapsed="false">
      <c r="A5" s="2" t="s">
        <v>1100</v>
      </c>
      <c r="B5" s="2" t="s">
        <v>1730</v>
      </c>
      <c r="C5" s="2" t="n">
        <v>13</v>
      </c>
      <c r="D5" s="2" t="n">
        <v>29</v>
      </c>
      <c r="E5" s="2" t="n">
        <v>82.8</v>
      </c>
      <c r="F5" s="2" t="s">
        <v>1731</v>
      </c>
    </row>
    <row r="6" customFormat="false" ht="15" hidden="false" customHeight="false" outlineLevel="0" collapsed="false">
      <c r="A6" s="2" t="s">
        <v>608</v>
      </c>
      <c r="B6" s="2" t="s">
        <v>1732</v>
      </c>
      <c r="C6" s="2" t="n">
        <v>35</v>
      </c>
      <c r="D6" s="2" t="n">
        <v>46</v>
      </c>
      <c r="E6" s="2" t="n">
        <v>69.4</v>
      </c>
      <c r="F6" s="2" t="s">
        <v>1733</v>
      </c>
    </row>
    <row r="7" customFormat="false" ht="15" hidden="false" customHeight="false" outlineLevel="0" collapsed="false">
      <c r="A7" s="2" t="s">
        <v>514</v>
      </c>
      <c r="B7" s="2" t="s">
        <v>1734</v>
      </c>
      <c r="C7" s="2" t="n">
        <v>20</v>
      </c>
      <c r="D7" s="2" t="n">
        <v>19</v>
      </c>
      <c r="E7" s="2" t="n">
        <v>75</v>
      </c>
      <c r="F7" s="2" t="s">
        <v>1735</v>
      </c>
    </row>
    <row r="8" customFormat="false" ht="15" hidden="false" customHeight="false" outlineLevel="0" collapsed="false">
      <c r="A8" s="2" t="s">
        <v>905</v>
      </c>
      <c r="B8" s="2" t="s">
        <v>1736</v>
      </c>
      <c r="C8" s="2" t="n">
        <v>18</v>
      </c>
      <c r="D8" s="2" t="n">
        <v>61</v>
      </c>
      <c r="E8" s="2" t="n">
        <v>81</v>
      </c>
      <c r="F8" s="2" t="s">
        <v>1737</v>
      </c>
    </row>
    <row r="9" customFormat="false" ht="15" hidden="false" customHeight="false" outlineLevel="0" collapsed="false">
      <c r="A9" s="2" t="s">
        <v>151</v>
      </c>
      <c r="B9" s="2" t="s">
        <v>1738</v>
      </c>
      <c r="C9" s="2" t="n">
        <v>25</v>
      </c>
      <c r="D9" s="2" t="n">
        <v>30</v>
      </c>
      <c r="E9" s="2" t="n">
        <v>71.1</v>
      </c>
      <c r="F9" s="2" t="s">
        <v>1739</v>
      </c>
    </row>
    <row r="10" customFormat="false" ht="15" hidden="false" customHeight="false" outlineLevel="0" collapsed="false">
      <c r="A10" s="2" t="s">
        <v>317</v>
      </c>
      <c r="B10" s="2" t="s">
        <v>1740</v>
      </c>
      <c r="C10" s="2" t="n">
        <v>50</v>
      </c>
      <c r="D10" s="2" t="n">
        <v>66</v>
      </c>
      <c r="E10" s="2" t="n">
        <v>68.5</v>
      </c>
      <c r="F10" s="2" t="s">
        <v>1741</v>
      </c>
    </row>
    <row r="11" customFormat="false" ht="15" hidden="false" customHeight="false" outlineLevel="0" collapsed="false">
      <c r="A11" s="2" t="s">
        <v>565</v>
      </c>
      <c r="B11" s="2" t="s">
        <v>1742</v>
      </c>
      <c r="C11" s="2" t="n">
        <v>15</v>
      </c>
      <c r="D11" s="2" t="n">
        <v>18</v>
      </c>
      <c r="E11" s="2" t="n">
        <v>79.2</v>
      </c>
      <c r="F11" s="2" t="s">
        <v>1743</v>
      </c>
    </row>
    <row r="12" customFormat="false" ht="15" hidden="false" customHeight="false" outlineLevel="0" collapsed="false">
      <c r="A12" s="2" t="s">
        <v>1020</v>
      </c>
      <c r="B12" s="2" t="s">
        <v>1744</v>
      </c>
      <c r="C12" s="2" t="n">
        <v>20</v>
      </c>
      <c r="D12" s="2" t="n">
        <v>43</v>
      </c>
      <c r="E12" s="2" t="n">
        <v>94.7</v>
      </c>
      <c r="F12" s="2" t="s">
        <v>1745</v>
      </c>
    </row>
    <row r="13" customFormat="false" ht="15" hidden="false" customHeight="false" outlineLevel="0" collapsed="false">
      <c r="A13" s="2" t="s">
        <v>791</v>
      </c>
      <c r="B13" s="2" t="s">
        <v>1746</v>
      </c>
      <c r="C13" s="2" t="n">
        <v>38</v>
      </c>
      <c r="D13" s="2" t="n">
        <v>36</v>
      </c>
      <c r="E13" s="2" t="n">
        <v>50.7</v>
      </c>
      <c r="F13" s="2" t="s">
        <v>1747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s>
  <sheetData>
    <row r="1" customFormat="false" ht="27.75" hidden="false" customHeight="true" outlineLevel="0" collapsed="false">
      <c r="A1" s="1" t="s">
        <v>1719</v>
      </c>
      <c r="B1" s="1" t="s">
        <v>1748</v>
      </c>
    </row>
    <row r="2" customFormat="false" ht="15" hidden="false" customHeight="false" outlineLevel="0" collapsed="false">
      <c r="A2" s="2" t="s">
        <v>1724</v>
      </c>
      <c r="B2" s="2" t="s">
        <v>254</v>
      </c>
    </row>
    <row r="3" customFormat="false" ht="15" hidden="false" customHeight="false" outlineLevel="0" collapsed="false">
      <c r="A3" s="2" t="s">
        <v>1726</v>
      </c>
      <c r="B3" s="2" t="s">
        <v>9</v>
      </c>
    </row>
    <row r="4" customFormat="false" ht="15" hidden="false" customHeight="false" outlineLevel="0" collapsed="false">
      <c r="A4" s="2" t="s">
        <v>1728</v>
      </c>
      <c r="B4" s="2" t="s">
        <v>731</v>
      </c>
    </row>
    <row r="5" customFormat="false" ht="15" hidden="false" customHeight="false" outlineLevel="0" collapsed="false">
      <c r="A5" s="2" t="s">
        <v>1730</v>
      </c>
      <c r="B5" s="2" t="s">
        <v>1100</v>
      </c>
    </row>
    <row r="6" customFormat="false" ht="15" hidden="false" customHeight="false" outlineLevel="0" collapsed="false">
      <c r="A6" s="2" t="s">
        <v>1732</v>
      </c>
      <c r="B6" s="2" t="s">
        <v>608</v>
      </c>
    </row>
    <row r="7" customFormat="false" ht="15" hidden="false" customHeight="false" outlineLevel="0" collapsed="false">
      <c r="A7" s="2" t="s">
        <v>1734</v>
      </c>
      <c r="B7" s="2" t="s">
        <v>514</v>
      </c>
    </row>
    <row r="8" customFormat="false" ht="15" hidden="false" customHeight="false" outlineLevel="0" collapsed="false">
      <c r="A8" s="2" t="s">
        <v>1736</v>
      </c>
      <c r="B8" s="2" t="s">
        <v>905</v>
      </c>
    </row>
    <row r="9" customFormat="false" ht="15" hidden="false" customHeight="false" outlineLevel="0" collapsed="false">
      <c r="A9" s="2" t="s">
        <v>1738</v>
      </c>
      <c r="B9" s="2" t="s">
        <v>151</v>
      </c>
    </row>
    <row r="10" customFormat="false" ht="15" hidden="false" customHeight="false" outlineLevel="0" collapsed="false">
      <c r="A10" s="2" t="s">
        <v>1740</v>
      </c>
      <c r="B10" s="2" t="s">
        <v>317</v>
      </c>
    </row>
    <row r="11" customFormat="false" ht="15" hidden="false" customHeight="false" outlineLevel="0" collapsed="false">
      <c r="A11" s="2" t="s">
        <v>1742</v>
      </c>
      <c r="B11" s="2" t="s">
        <v>565</v>
      </c>
    </row>
    <row r="12" customFormat="false" ht="15" hidden="false" customHeight="false" outlineLevel="0" collapsed="false">
      <c r="A12" s="2" t="s">
        <v>1744</v>
      </c>
      <c r="B12" s="2" t="s">
        <v>1020</v>
      </c>
    </row>
    <row r="13" customFormat="false" ht="15" hidden="false" customHeight="false" outlineLevel="0" collapsed="false">
      <c r="A13" s="2" t="s">
        <v>1746</v>
      </c>
      <c r="B13" s="2" t="s">
        <v>791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4" min="3" style="0" width="10"/>
    <col collapsed="false" customWidth="true" hidden="false" outlineLevel="0" max="5" min="5" style="0" width="30"/>
    <col collapsed="false" customWidth="true" hidden="false" outlineLevel="0" max="6" min="6" style="0" width="12"/>
    <col collapsed="false" customWidth="true" hidden="false" outlineLevel="0" max="7" min="7" style="0" width="22"/>
  </cols>
  <sheetData>
    <row r="1" customFormat="false" ht="27.75" hidden="false" customHeight="true" outlineLevel="0" collapsed="false">
      <c r="A1" s="1" t="s">
        <v>0</v>
      </c>
      <c r="B1" s="1" t="s">
        <v>5</v>
      </c>
      <c r="C1" s="1" t="s">
        <v>1749</v>
      </c>
      <c r="D1" s="1" t="s">
        <v>1750</v>
      </c>
      <c r="E1" s="1" t="s">
        <v>1751</v>
      </c>
      <c r="F1" s="1" t="s">
        <v>1752</v>
      </c>
      <c r="G1" s="1" t="s">
        <v>1753</v>
      </c>
    </row>
    <row r="2" customFormat="false" ht="15" hidden="false" customHeight="false" outlineLevel="0" collapsed="false">
      <c r="A2" s="2" t="n">
        <v>1</v>
      </c>
      <c r="B2" s="2" t="s">
        <v>20</v>
      </c>
      <c r="C2" s="2" t="s">
        <v>7</v>
      </c>
      <c r="D2" s="2" t="n">
        <v>12</v>
      </c>
      <c r="E2" s="2" t="s">
        <v>1754</v>
      </c>
      <c r="F2" s="2" t="s">
        <v>1755</v>
      </c>
      <c r="G2" s="2" t="s">
        <v>1756</v>
      </c>
    </row>
    <row r="3" customFormat="false" ht="15" hidden="false" customHeight="false" outlineLevel="0" collapsed="false">
      <c r="A3" s="2" t="n">
        <v>2</v>
      </c>
      <c r="B3" s="2" t="s">
        <v>6</v>
      </c>
      <c r="C3" s="2" t="s">
        <v>7</v>
      </c>
      <c r="D3" s="2" t="n">
        <v>12</v>
      </c>
      <c r="E3" s="2" t="s">
        <v>1754</v>
      </c>
      <c r="F3" s="2" t="s">
        <v>1755</v>
      </c>
      <c r="G3" s="2" t="s">
        <v>1756</v>
      </c>
    </row>
    <row r="4" customFormat="false" ht="15" hidden="false" customHeight="false" outlineLevel="0" collapsed="false">
      <c r="A4" s="2" t="n">
        <v>3</v>
      </c>
      <c r="B4" s="2" t="s">
        <v>12</v>
      </c>
      <c r="C4" s="2" t="s">
        <v>7</v>
      </c>
      <c r="D4" s="2" t="n">
        <v>12</v>
      </c>
      <c r="E4" s="2" t="s">
        <v>1754</v>
      </c>
      <c r="F4" s="2" t="s">
        <v>1755</v>
      </c>
      <c r="G4" s="2" t="s">
        <v>1756</v>
      </c>
    </row>
    <row r="5" customFormat="false" ht="15" hidden="false" customHeight="false" outlineLevel="0" collapsed="false">
      <c r="A5" s="2" t="n">
        <v>4</v>
      </c>
      <c r="B5" s="2" t="s">
        <v>26</v>
      </c>
      <c r="C5" s="2" t="s">
        <v>7</v>
      </c>
      <c r="D5" s="2" t="n">
        <v>12</v>
      </c>
      <c r="E5" s="2" t="s">
        <v>1754</v>
      </c>
      <c r="F5" s="2" t="s">
        <v>1755</v>
      </c>
      <c r="G5" s="2" t="s">
        <v>1756</v>
      </c>
    </row>
    <row r="6" customFormat="false" ht="15" hidden="false" customHeight="false" outlineLevel="0" collapsed="false">
      <c r="A6" s="2" t="n">
        <v>5</v>
      </c>
      <c r="B6" s="2" t="s">
        <v>22</v>
      </c>
      <c r="C6" s="2" t="s">
        <v>7</v>
      </c>
      <c r="D6" s="2" t="n">
        <v>12</v>
      </c>
      <c r="E6" s="2" t="s">
        <v>1754</v>
      </c>
      <c r="F6" s="2" t="s">
        <v>1755</v>
      </c>
      <c r="G6" s="2" t="s">
        <v>1756</v>
      </c>
    </row>
    <row r="7" customFormat="false" ht="15" hidden="false" customHeight="false" outlineLevel="0" collapsed="false">
      <c r="A7" s="2" t="n">
        <v>6</v>
      </c>
      <c r="B7" s="2" t="s">
        <v>24</v>
      </c>
      <c r="C7" s="2" t="s">
        <v>7</v>
      </c>
      <c r="D7" s="2" t="n">
        <v>12</v>
      </c>
      <c r="E7" s="2" t="s">
        <v>1754</v>
      </c>
      <c r="F7" s="2" t="s">
        <v>1755</v>
      </c>
      <c r="G7" s="2" t="s">
        <v>1756</v>
      </c>
    </row>
    <row r="8" customFormat="false" ht="15" hidden="false" customHeight="false" outlineLevel="0" collapsed="false">
      <c r="A8" s="2" t="n">
        <v>7</v>
      </c>
      <c r="B8" s="2" t="s">
        <v>27</v>
      </c>
      <c r="C8" s="2" t="s">
        <v>7</v>
      </c>
      <c r="D8" s="2" t="n">
        <v>12</v>
      </c>
      <c r="E8" s="2" t="s">
        <v>1754</v>
      </c>
      <c r="F8" s="2" t="s">
        <v>1755</v>
      </c>
      <c r="G8" s="2" t="s">
        <v>1756</v>
      </c>
    </row>
    <row r="9" customFormat="false" ht="15" hidden="false" customHeight="false" outlineLevel="0" collapsed="false">
      <c r="A9" s="2" t="n">
        <v>8</v>
      </c>
      <c r="B9" s="2" t="s">
        <v>18</v>
      </c>
      <c r="C9" s="2" t="s">
        <v>7</v>
      </c>
      <c r="D9" s="2" t="n">
        <v>11</v>
      </c>
      <c r="E9" s="2" t="s">
        <v>1757</v>
      </c>
      <c r="F9" s="2" t="s">
        <v>1758</v>
      </c>
      <c r="G9" s="2" t="s">
        <v>1756</v>
      </c>
    </row>
    <row r="10" customFormat="false" ht="15" hidden="false" customHeight="false" outlineLevel="0" collapsed="false">
      <c r="A10" s="2" t="n">
        <v>9</v>
      </c>
      <c r="B10" s="2" t="s">
        <v>16</v>
      </c>
      <c r="C10" s="2" t="s">
        <v>7</v>
      </c>
      <c r="D10" s="2" t="n">
        <v>11</v>
      </c>
      <c r="E10" s="2" t="s">
        <v>1757</v>
      </c>
      <c r="F10" s="2" t="s">
        <v>1758</v>
      </c>
      <c r="G10" s="2" t="s">
        <v>1756</v>
      </c>
    </row>
    <row r="11" customFormat="false" ht="15" hidden="false" customHeight="false" outlineLevel="0" collapsed="false">
      <c r="A11" s="2" t="n">
        <v>10</v>
      </c>
      <c r="B11" s="2" t="s">
        <v>40</v>
      </c>
      <c r="C11" s="2" t="s">
        <v>7</v>
      </c>
      <c r="D11" s="2" t="n">
        <v>9</v>
      </c>
      <c r="E11" s="2" t="s">
        <v>1759</v>
      </c>
      <c r="F11" s="2" t="s">
        <v>1760</v>
      </c>
      <c r="G11" s="2" t="s">
        <v>1761</v>
      </c>
    </row>
    <row r="12" customFormat="false" ht="15" hidden="false" customHeight="false" outlineLevel="0" collapsed="false">
      <c r="A12" s="2" t="n">
        <v>11</v>
      </c>
      <c r="B12" s="2" t="s">
        <v>57</v>
      </c>
      <c r="C12" s="2" t="s">
        <v>7</v>
      </c>
      <c r="D12" s="2" t="n">
        <v>9</v>
      </c>
      <c r="E12" s="2" t="s">
        <v>1762</v>
      </c>
      <c r="F12" s="2" t="s">
        <v>1760</v>
      </c>
      <c r="G12" s="2" t="s">
        <v>1761</v>
      </c>
    </row>
    <row r="13" customFormat="false" ht="15" hidden="false" customHeight="false" outlineLevel="0" collapsed="false">
      <c r="A13" s="2" t="n">
        <v>12</v>
      </c>
      <c r="B13" s="2" t="s">
        <v>55</v>
      </c>
      <c r="C13" s="2" t="s">
        <v>7</v>
      </c>
      <c r="D13" s="2" t="n">
        <v>9</v>
      </c>
      <c r="E13" s="2" t="s">
        <v>1762</v>
      </c>
      <c r="F13" s="2" t="s">
        <v>1760</v>
      </c>
      <c r="G13" s="2" t="s">
        <v>1761</v>
      </c>
    </row>
    <row r="14" customFormat="false" ht="15" hidden="false" customHeight="false" outlineLevel="0" collapsed="false">
      <c r="A14" s="2" t="n">
        <v>13</v>
      </c>
      <c r="B14" s="2" t="s">
        <v>53</v>
      </c>
      <c r="C14" s="2" t="s">
        <v>7</v>
      </c>
      <c r="D14" s="2" t="n">
        <v>8</v>
      </c>
      <c r="E14" s="2" t="s">
        <v>1763</v>
      </c>
      <c r="F14" s="2" t="s">
        <v>1764</v>
      </c>
      <c r="G14" s="2" t="s">
        <v>1761</v>
      </c>
    </row>
    <row r="15" customFormat="false" ht="15" hidden="false" customHeight="false" outlineLevel="0" collapsed="false">
      <c r="A15" s="2" t="n">
        <v>14</v>
      </c>
      <c r="B15" s="2" t="s">
        <v>155</v>
      </c>
      <c r="C15" s="2" t="s">
        <v>7</v>
      </c>
      <c r="D15" s="2" t="n">
        <v>8</v>
      </c>
      <c r="E15" s="2" t="s">
        <v>1765</v>
      </c>
      <c r="F15" s="2" t="s">
        <v>1764</v>
      </c>
      <c r="G15" s="2" t="s">
        <v>1761</v>
      </c>
    </row>
    <row r="16" customFormat="false" ht="15" hidden="false" customHeight="false" outlineLevel="0" collapsed="false">
      <c r="A16" s="2" t="n">
        <v>15</v>
      </c>
      <c r="B16" s="2" t="s">
        <v>62</v>
      </c>
      <c r="C16" s="2" t="s">
        <v>7</v>
      </c>
      <c r="D16" s="2" t="n">
        <v>7</v>
      </c>
      <c r="E16" s="2" t="s">
        <v>1766</v>
      </c>
      <c r="F16" s="2" t="s">
        <v>1767</v>
      </c>
      <c r="G16" s="2" t="s">
        <v>1761</v>
      </c>
    </row>
    <row r="17" customFormat="false" ht="15" hidden="false" customHeight="false" outlineLevel="0" collapsed="false">
      <c r="A17" s="2" t="n">
        <v>16</v>
      </c>
      <c r="B17" s="2" t="s">
        <v>58</v>
      </c>
      <c r="C17" s="2" t="s">
        <v>7</v>
      </c>
      <c r="D17" s="2" t="n">
        <v>7</v>
      </c>
      <c r="E17" s="2" t="s">
        <v>1768</v>
      </c>
      <c r="F17" s="2" t="s">
        <v>1767</v>
      </c>
      <c r="G17" s="2" t="s">
        <v>1761</v>
      </c>
    </row>
    <row r="18" customFormat="false" ht="15" hidden="false" customHeight="false" outlineLevel="0" collapsed="false">
      <c r="A18" s="2" t="n">
        <v>17</v>
      </c>
      <c r="B18" s="2" t="s">
        <v>60</v>
      </c>
      <c r="C18" s="2" t="s">
        <v>7</v>
      </c>
      <c r="D18" s="2" t="n">
        <v>7</v>
      </c>
      <c r="E18" s="2" t="s">
        <v>1766</v>
      </c>
      <c r="F18" s="2" t="s">
        <v>1767</v>
      </c>
      <c r="G18" s="2" t="s">
        <v>1761</v>
      </c>
    </row>
    <row r="19" customFormat="false" ht="15" hidden="false" customHeight="false" outlineLevel="0" collapsed="false">
      <c r="A19" s="2" t="n">
        <v>18</v>
      </c>
      <c r="B19" s="2" t="s">
        <v>36</v>
      </c>
      <c r="C19" s="2" t="s">
        <v>7</v>
      </c>
      <c r="D19" s="2" t="n">
        <v>6</v>
      </c>
      <c r="E19" s="2" t="s">
        <v>1769</v>
      </c>
      <c r="F19" s="2" t="s">
        <v>1770</v>
      </c>
      <c r="G19" s="2" t="s">
        <v>1771</v>
      </c>
    </row>
    <row r="20" customFormat="false" ht="15" hidden="false" customHeight="false" outlineLevel="0" collapsed="false">
      <c r="A20" s="2" t="n">
        <v>19</v>
      </c>
      <c r="B20" s="2" t="s">
        <v>262</v>
      </c>
      <c r="C20" s="2" t="s">
        <v>7</v>
      </c>
      <c r="D20" s="2" t="n">
        <v>6</v>
      </c>
      <c r="E20" s="2" t="s">
        <v>1772</v>
      </c>
      <c r="F20" s="2" t="s">
        <v>1770</v>
      </c>
      <c r="G20" s="2" t="s">
        <v>1771</v>
      </c>
    </row>
    <row r="21" customFormat="false" ht="15" hidden="false" customHeight="false" outlineLevel="0" collapsed="false">
      <c r="A21" s="2" t="n">
        <v>20</v>
      </c>
      <c r="B21" s="2" t="s">
        <v>29</v>
      </c>
      <c r="C21" s="2" t="s">
        <v>7</v>
      </c>
      <c r="D21" s="2" t="n">
        <v>6</v>
      </c>
      <c r="E21" s="2" t="s">
        <v>1773</v>
      </c>
      <c r="F21" s="2" t="s">
        <v>1770</v>
      </c>
      <c r="G21" s="2" t="s">
        <v>1771</v>
      </c>
    </row>
    <row r="22" customFormat="false" ht="15" hidden="false" customHeight="false" outlineLevel="0" collapsed="false">
      <c r="A22" s="2" t="n">
        <v>21</v>
      </c>
      <c r="B22" s="2" t="s">
        <v>61</v>
      </c>
      <c r="C22" s="2" t="s">
        <v>7</v>
      </c>
      <c r="D22" s="2" t="n">
        <v>6</v>
      </c>
      <c r="E22" s="2" t="s">
        <v>1774</v>
      </c>
      <c r="F22" s="2" t="s">
        <v>1770</v>
      </c>
      <c r="G22" s="2" t="s">
        <v>1771</v>
      </c>
    </row>
    <row r="23" customFormat="false" ht="15" hidden="false" customHeight="false" outlineLevel="0" collapsed="false">
      <c r="A23" s="2" t="n">
        <v>22</v>
      </c>
      <c r="B23" s="2" t="s">
        <v>14</v>
      </c>
      <c r="C23" s="2" t="s">
        <v>7</v>
      </c>
      <c r="D23" s="2" t="n">
        <v>6</v>
      </c>
      <c r="E23" s="2" t="s">
        <v>1775</v>
      </c>
      <c r="F23" s="2" t="s">
        <v>1770</v>
      </c>
      <c r="G23" s="2" t="s">
        <v>1771</v>
      </c>
    </row>
    <row r="24" customFormat="false" ht="15" hidden="false" customHeight="false" outlineLevel="0" collapsed="false">
      <c r="A24" s="2" t="n">
        <v>23</v>
      </c>
      <c r="B24" s="2" t="s">
        <v>335</v>
      </c>
      <c r="C24" s="2" t="s">
        <v>7</v>
      </c>
      <c r="D24" s="2" t="n">
        <v>4</v>
      </c>
      <c r="E24" s="2" t="s">
        <v>1776</v>
      </c>
      <c r="F24" s="2" t="s">
        <v>1777</v>
      </c>
      <c r="G24" s="2" t="s">
        <v>1771</v>
      </c>
    </row>
    <row r="25" customFormat="false" ht="15" hidden="false" customHeight="false" outlineLevel="0" collapsed="false">
      <c r="A25" s="2" t="n">
        <v>24</v>
      </c>
      <c r="B25" s="2" t="s">
        <v>160</v>
      </c>
      <c r="C25" s="2" t="s">
        <v>7</v>
      </c>
      <c r="D25" s="2" t="n">
        <v>4</v>
      </c>
      <c r="E25" s="2" t="s">
        <v>1778</v>
      </c>
      <c r="F25" s="2" t="s">
        <v>1777</v>
      </c>
      <c r="G25" s="2" t="s">
        <v>1771</v>
      </c>
    </row>
    <row r="26" customFormat="false" ht="15" hidden="false" customHeight="false" outlineLevel="0" collapsed="false">
      <c r="A26" s="2" t="n">
        <v>25</v>
      </c>
      <c r="B26" s="2" t="s">
        <v>328</v>
      </c>
      <c r="C26" s="2" t="s">
        <v>7</v>
      </c>
      <c r="D26" s="2" t="n">
        <v>4</v>
      </c>
      <c r="E26" s="2" t="s">
        <v>1779</v>
      </c>
      <c r="F26" s="2" t="s">
        <v>1777</v>
      </c>
      <c r="G26" s="2" t="s">
        <v>1771</v>
      </c>
    </row>
    <row r="27" customFormat="false" ht="15" hidden="false" customHeight="false" outlineLevel="0" collapsed="false">
      <c r="A27" s="2" t="n">
        <v>26</v>
      </c>
      <c r="B27" s="2" t="s">
        <v>158</v>
      </c>
      <c r="C27" s="2" t="s">
        <v>7</v>
      </c>
      <c r="D27" s="2" t="n">
        <v>4</v>
      </c>
      <c r="E27" s="2" t="s">
        <v>1780</v>
      </c>
      <c r="F27" s="2" t="s">
        <v>1777</v>
      </c>
      <c r="G27" s="2" t="s">
        <v>1771</v>
      </c>
    </row>
    <row r="28" customFormat="false" ht="15" hidden="false" customHeight="false" outlineLevel="0" collapsed="false">
      <c r="A28" s="2" t="n">
        <v>27</v>
      </c>
      <c r="B28" s="2" t="s">
        <v>413</v>
      </c>
      <c r="C28" s="2" t="s">
        <v>7</v>
      </c>
      <c r="D28" s="2" t="n">
        <v>3</v>
      </c>
      <c r="E28" s="2" t="s">
        <v>1781</v>
      </c>
      <c r="F28" s="2" t="s">
        <v>1782</v>
      </c>
      <c r="G28" s="2" t="s">
        <v>1783</v>
      </c>
    </row>
    <row r="29" customFormat="false" ht="15" hidden="false" customHeight="false" outlineLevel="0" collapsed="false">
      <c r="A29" s="2" t="n">
        <v>28</v>
      </c>
      <c r="B29" s="2" t="s">
        <v>414</v>
      </c>
      <c r="C29" s="2" t="s">
        <v>7</v>
      </c>
      <c r="D29" s="2" t="n">
        <v>3</v>
      </c>
      <c r="E29" s="2" t="s">
        <v>1781</v>
      </c>
      <c r="F29" s="2" t="s">
        <v>1782</v>
      </c>
      <c r="G29" s="2" t="s">
        <v>1783</v>
      </c>
    </row>
    <row r="30" customFormat="false" ht="15" hidden="false" customHeight="false" outlineLevel="0" collapsed="false">
      <c r="A30" s="2" t="n">
        <v>29</v>
      </c>
      <c r="B30" s="2" t="s">
        <v>395</v>
      </c>
      <c r="C30" s="2" t="s">
        <v>7</v>
      </c>
      <c r="D30" s="2" t="n">
        <v>3</v>
      </c>
      <c r="E30" s="2" t="s">
        <v>1784</v>
      </c>
      <c r="F30" s="2" t="s">
        <v>1782</v>
      </c>
      <c r="G30" s="2" t="s">
        <v>1783</v>
      </c>
    </row>
    <row r="31" customFormat="false" ht="15" hidden="false" customHeight="false" outlineLevel="0" collapsed="false">
      <c r="A31" s="2" t="n">
        <v>30</v>
      </c>
      <c r="B31" s="2" t="s">
        <v>320</v>
      </c>
      <c r="C31" s="2" t="s">
        <v>7</v>
      </c>
      <c r="D31" s="2" t="n">
        <v>3</v>
      </c>
      <c r="E31" s="2" t="s">
        <v>1785</v>
      </c>
      <c r="F31" s="2" t="s">
        <v>1782</v>
      </c>
      <c r="G31" s="2" t="s">
        <v>1783</v>
      </c>
    </row>
    <row r="32" customFormat="false" ht="15" hidden="false" customHeight="false" outlineLevel="0" collapsed="false">
      <c r="A32" s="2" t="n">
        <v>31</v>
      </c>
      <c r="B32" s="2" t="s">
        <v>522</v>
      </c>
      <c r="C32" s="2" t="s">
        <v>7</v>
      </c>
      <c r="D32" s="2" t="n">
        <v>3</v>
      </c>
      <c r="E32" s="2" t="s">
        <v>1786</v>
      </c>
      <c r="F32" s="2" t="s">
        <v>1782</v>
      </c>
      <c r="G32" s="2" t="s">
        <v>1783</v>
      </c>
    </row>
    <row r="33" customFormat="false" ht="15" hidden="false" customHeight="false" outlineLevel="0" collapsed="false">
      <c r="A33" s="2" t="n">
        <v>32</v>
      </c>
      <c r="B33" s="2" t="s">
        <v>266</v>
      </c>
      <c r="C33" s="2" t="s">
        <v>7</v>
      </c>
      <c r="D33" s="2" t="n">
        <v>3</v>
      </c>
      <c r="E33" s="2" t="s">
        <v>1787</v>
      </c>
      <c r="F33" s="2" t="s">
        <v>1782</v>
      </c>
      <c r="G33" s="2" t="s">
        <v>1783</v>
      </c>
    </row>
    <row r="34" customFormat="false" ht="15" hidden="false" customHeight="false" outlineLevel="0" collapsed="false">
      <c r="A34" s="2" t="n">
        <v>33</v>
      </c>
      <c r="B34" s="2" t="s">
        <v>31</v>
      </c>
      <c r="C34" s="2" t="s">
        <v>7</v>
      </c>
      <c r="D34" s="2" t="n">
        <v>3</v>
      </c>
      <c r="E34" s="2" t="s">
        <v>1788</v>
      </c>
      <c r="F34" s="2" t="s">
        <v>1782</v>
      </c>
      <c r="G34" s="2" t="s">
        <v>1783</v>
      </c>
    </row>
    <row r="35" customFormat="false" ht="15" hidden="false" customHeight="false" outlineLevel="0" collapsed="false">
      <c r="A35" s="2" t="n">
        <v>34</v>
      </c>
      <c r="B35" s="2" t="s">
        <v>176</v>
      </c>
      <c r="C35" s="2" t="s">
        <v>7</v>
      </c>
      <c r="D35" s="2" t="n">
        <v>3</v>
      </c>
      <c r="E35" s="2" t="s">
        <v>1789</v>
      </c>
      <c r="F35" s="2" t="s">
        <v>1782</v>
      </c>
      <c r="G35" s="2" t="s">
        <v>1783</v>
      </c>
    </row>
    <row r="36" customFormat="false" ht="15" hidden="false" customHeight="false" outlineLevel="0" collapsed="false">
      <c r="A36" s="2" t="n">
        <v>35</v>
      </c>
      <c r="B36" s="2" t="s">
        <v>174</v>
      </c>
      <c r="C36" s="2" t="s">
        <v>7</v>
      </c>
      <c r="D36" s="2" t="n">
        <v>3</v>
      </c>
      <c r="E36" s="2" t="s">
        <v>1789</v>
      </c>
      <c r="F36" s="2" t="s">
        <v>1782</v>
      </c>
      <c r="G36" s="2" t="s">
        <v>1783</v>
      </c>
    </row>
    <row r="37" customFormat="false" ht="15" hidden="false" customHeight="false" outlineLevel="0" collapsed="false">
      <c r="A37" s="2" t="n">
        <v>36</v>
      </c>
      <c r="B37" s="2" t="s">
        <v>575</v>
      </c>
      <c r="C37" s="2" t="s">
        <v>7</v>
      </c>
      <c r="D37" s="2" t="n">
        <v>3</v>
      </c>
      <c r="E37" s="2" t="s">
        <v>1790</v>
      </c>
      <c r="F37" s="2" t="s">
        <v>1782</v>
      </c>
      <c r="G37" s="2" t="s">
        <v>1783</v>
      </c>
    </row>
    <row r="38" customFormat="false" ht="15" hidden="false" customHeight="false" outlineLevel="0" collapsed="false">
      <c r="A38" s="2" t="n">
        <v>37</v>
      </c>
      <c r="B38" s="2" t="s">
        <v>949</v>
      </c>
      <c r="C38" s="2" t="s">
        <v>7</v>
      </c>
      <c r="D38" s="2" t="n">
        <v>2</v>
      </c>
      <c r="E38" s="2" t="s">
        <v>1791</v>
      </c>
      <c r="F38" s="2" t="s">
        <v>1792</v>
      </c>
      <c r="G38" s="2" t="s">
        <v>1783</v>
      </c>
    </row>
    <row r="39" customFormat="false" ht="15" hidden="false" customHeight="false" outlineLevel="0" collapsed="false">
      <c r="A39" s="2" t="n">
        <v>38</v>
      </c>
      <c r="B39" s="2" t="s">
        <v>346</v>
      </c>
      <c r="C39" s="2" t="s">
        <v>7</v>
      </c>
      <c r="D39" s="2" t="n">
        <v>2</v>
      </c>
      <c r="E39" s="2" t="s">
        <v>1793</v>
      </c>
      <c r="F39" s="2" t="s">
        <v>1792</v>
      </c>
      <c r="G39" s="2" t="s">
        <v>1783</v>
      </c>
    </row>
    <row r="40" customFormat="false" ht="15" hidden="false" customHeight="false" outlineLevel="0" collapsed="false">
      <c r="A40" s="2" t="n">
        <v>39</v>
      </c>
      <c r="B40" s="2" t="s">
        <v>339</v>
      </c>
      <c r="C40" s="2" t="s">
        <v>7</v>
      </c>
      <c r="D40" s="2" t="n">
        <v>2</v>
      </c>
      <c r="E40" s="2" t="s">
        <v>1793</v>
      </c>
      <c r="F40" s="2" t="s">
        <v>1792</v>
      </c>
      <c r="G40" s="2" t="s">
        <v>1783</v>
      </c>
    </row>
    <row r="41" customFormat="false" ht="15" hidden="false" customHeight="false" outlineLevel="0" collapsed="false">
      <c r="A41" s="2" t="n">
        <v>40</v>
      </c>
      <c r="B41" s="2" t="s">
        <v>832</v>
      </c>
      <c r="C41" s="2" t="s">
        <v>7</v>
      </c>
      <c r="D41" s="2" t="n">
        <v>2</v>
      </c>
      <c r="E41" s="2" t="s">
        <v>1794</v>
      </c>
      <c r="F41" s="2" t="s">
        <v>1792</v>
      </c>
      <c r="G41" s="2" t="s">
        <v>1783</v>
      </c>
    </row>
    <row r="42" customFormat="false" ht="15" hidden="false" customHeight="false" outlineLevel="0" collapsed="false">
      <c r="A42" s="2" t="n">
        <v>41</v>
      </c>
      <c r="B42" s="2" t="s">
        <v>416</v>
      </c>
      <c r="C42" s="2" t="s">
        <v>7</v>
      </c>
      <c r="D42" s="2" t="n">
        <v>2</v>
      </c>
      <c r="E42" s="2" t="s">
        <v>1793</v>
      </c>
      <c r="F42" s="2" t="s">
        <v>1792</v>
      </c>
      <c r="G42" s="2" t="s">
        <v>1783</v>
      </c>
    </row>
    <row r="43" customFormat="false" ht="15" hidden="false" customHeight="false" outlineLevel="0" collapsed="false">
      <c r="A43" s="2" t="n">
        <v>42</v>
      </c>
      <c r="B43" s="2" t="s">
        <v>10</v>
      </c>
      <c r="C43" s="2" t="s">
        <v>7</v>
      </c>
      <c r="D43" s="2" t="n">
        <v>2</v>
      </c>
      <c r="E43" s="2" t="s">
        <v>1795</v>
      </c>
      <c r="F43" s="2" t="s">
        <v>1792</v>
      </c>
      <c r="G43" s="2" t="s">
        <v>1783</v>
      </c>
    </row>
    <row r="44" customFormat="false" ht="15" hidden="false" customHeight="false" outlineLevel="0" collapsed="false">
      <c r="A44" s="2" t="n">
        <v>43</v>
      </c>
      <c r="B44" s="2" t="s">
        <v>649</v>
      </c>
      <c r="C44" s="2" t="s">
        <v>7</v>
      </c>
      <c r="D44" s="2" t="n">
        <v>2</v>
      </c>
      <c r="E44" s="2" t="s">
        <v>1796</v>
      </c>
      <c r="F44" s="2" t="s">
        <v>1792</v>
      </c>
      <c r="G44" s="2" t="s">
        <v>1783</v>
      </c>
    </row>
    <row r="45" customFormat="false" ht="15" hidden="false" customHeight="false" outlineLevel="0" collapsed="false">
      <c r="A45" s="2" t="n">
        <v>44</v>
      </c>
      <c r="B45" s="2" t="s">
        <v>344</v>
      </c>
      <c r="C45" s="2" t="s">
        <v>7</v>
      </c>
      <c r="D45" s="2" t="n">
        <v>2</v>
      </c>
      <c r="E45" s="2" t="s">
        <v>1793</v>
      </c>
      <c r="F45" s="2" t="s">
        <v>1792</v>
      </c>
      <c r="G45" s="2" t="s">
        <v>1783</v>
      </c>
    </row>
    <row r="46" customFormat="false" ht="15" hidden="false" customHeight="false" outlineLevel="0" collapsed="false">
      <c r="A46" s="2" t="n">
        <v>45</v>
      </c>
      <c r="B46" s="2" t="s">
        <v>35</v>
      </c>
      <c r="C46" s="2" t="s">
        <v>7</v>
      </c>
      <c r="D46" s="2" t="n">
        <v>2</v>
      </c>
      <c r="E46" s="2" t="s">
        <v>1797</v>
      </c>
      <c r="F46" s="2" t="s">
        <v>1792</v>
      </c>
      <c r="G46" s="2" t="s">
        <v>1783</v>
      </c>
    </row>
    <row r="47" customFormat="false" ht="15" hidden="false" customHeight="false" outlineLevel="0" collapsed="false">
      <c r="A47" s="2" t="n">
        <v>46</v>
      </c>
      <c r="B47" s="2" t="s">
        <v>349</v>
      </c>
      <c r="C47" s="2" t="s">
        <v>7</v>
      </c>
      <c r="D47" s="2" t="n">
        <v>2</v>
      </c>
      <c r="E47" s="2" t="s">
        <v>1798</v>
      </c>
      <c r="F47" s="2" t="s">
        <v>1792</v>
      </c>
      <c r="G47" s="2" t="s">
        <v>1783</v>
      </c>
    </row>
    <row r="48" customFormat="false" ht="15" hidden="false" customHeight="false" outlineLevel="0" collapsed="false">
      <c r="A48" s="2" t="n">
        <v>47</v>
      </c>
      <c r="B48" s="2" t="s">
        <v>191</v>
      </c>
      <c r="C48" s="2" t="s">
        <v>7</v>
      </c>
      <c r="D48" s="2" t="n">
        <v>2</v>
      </c>
      <c r="E48" s="2" t="s">
        <v>1799</v>
      </c>
      <c r="F48" s="2" t="s">
        <v>1792</v>
      </c>
      <c r="G48" s="2" t="s">
        <v>1783</v>
      </c>
    </row>
    <row r="49" customFormat="false" ht="15" hidden="false" customHeight="false" outlineLevel="0" collapsed="false">
      <c r="A49" s="2" t="n">
        <v>48</v>
      </c>
      <c r="B49" s="2" t="s">
        <v>651</v>
      </c>
      <c r="C49" s="2" t="s">
        <v>7</v>
      </c>
      <c r="D49" s="2" t="n">
        <v>2</v>
      </c>
      <c r="E49" s="2" t="s">
        <v>1796</v>
      </c>
      <c r="F49" s="2" t="s">
        <v>1792</v>
      </c>
      <c r="G49" s="2" t="s">
        <v>1783</v>
      </c>
    </row>
    <row r="50" customFormat="false" ht="15" hidden="false" customHeight="false" outlineLevel="0" collapsed="false">
      <c r="A50" s="2" t="n">
        <v>49</v>
      </c>
      <c r="B50" s="2" t="s">
        <v>271</v>
      </c>
      <c r="C50" s="2" t="s">
        <v>7</v>
      </c>
      <c r="D50" s="2" t="n">
        <v>2</v>
      </c>
      <c r="E50" s="2" t="s">
        <v>1800</v>
      </c>
      <c r="F50" s="2" t="s">
        <v>1792</v>
      </c>
      <c r="G50" s="2" t="s">
        <v>1783</v>
      </c>
    </row>
    <row r="51" customFormat="false" ht="15" hidden="false" customHeight="false" outlineLevel="0" collapsed="false">
      <c r="A51" s="2" t="n">
        <v>50</v>
      </c>
      <c r="B51" s="2" t="s">
        <v>1025</v>
      </c>
      <c r="C51" s="2" t="s">
        <v>7</v>
      </c>
      <c r="D51" s="2" t="n">
        <v>2</v>
      </c>
      <c r="E51" s="2" t="s">
        <v>1801</v>
      </c>
      <c r="F51" s="2" t="s">
        <v>1792</v>
      </c>
      <c r="G51" s="2" t="s">
        <v>1783</v>
      </c>
    </row>
    <row r="52" customFormat="false" ht="15" hidden="false" customHeight="false" outlineLevel="0" collapsed="false">
      <c r="A52" s="2" t="n">
        <v>51</v>
      </c>
      <c r="B52" s="2" t="s">
        <v>950</v>
      </c>
      <c r="C52" s="2" t="s">
        <v>7</v>
      </c>
      <c r="D52" s="2" t="n">
        <v>2</v>
      </c>
      <c r="E52" s="2" t="s">
        <v>1791</v>
      </c>
      <c r="F52" s="2" t="s">
        <v>1792</v>
      </c>
      <c r="G52" s="2" t="s">
        <v>1783</v>
      </c>
    </row>
    <row r="53" customFormat="false" ht="15" hidden="false" customHeight="false" outlineLevel="0" collapsed="false">
      <c r="A53" s="2" t="n">
        <v>52</v>
      </c>
      <c r="B53" s="2" t="s">
        <v>187</v>
      </c>
      <c r="C53" s="2" t="s">
        <v>7</v>
      </c>
      <c r="D53" s="2" t="n">
        <v>2</v>
      </c>
      <c r="E53" s="2" t="s">
        <v>1802</v>
      </c>
      <c r="F53" s="2" t="s">
        <v>1792</v>
      </c>
      <c r="G53" s="2" t="s">
        <v>1783</v>
      </c>
    </row>
    <row r="54" customFormat="false" ht="15" hidden="false" customHeight="false" outlineLevel="0" collapsed="false">
      <c r="A54" s="2" t="n">
        <v>53</v>
      </c>
      <c r="B54" s="2" t="s">
        <v>654</v>
      </c>
      <c r="C54" s="2" t="s">
        <v>7</v>
      </c>
      <c r="D54" s="2" t="n">
        <v>2</v>
      </c>
      <c r="E54" s="2" t="s">
        <v>1803</v>
      </c>
      <c r="F54" s="2" t="s">
        <v>1792</v>
      </c>
      <c r="G54" s="2" t="s">
        <v>1783</v>
      </c>
    </row>
    <row r="55" customFormat="false" ht="15" hidden="false" customHeight="false" outlineLevel="0" collapsed="false">
      <c r="A55" s="2" t="n">
        <v>54</v>
      </c>
      <c r="B55" s="2" t="s">
        <v>194</v>
      </c>
      <c r="C55" s="2" t="s">
        <v>7</v>
      </c>
      <c r="D55" s="2" t="n">
        <v>2</v>
      </c>
      <c r="E55" s="2" t="s">
        <v>1804</v>
      </c>
      <c r="F55" s="2" t="s">
        <v>1792</v>
      </c>
      <c r="G55" s="2" t="s">
        <v>1783</v>
      </c>
    </row>
    <row r="56" customFormat="false" ht="15" hidden="false" customHeight="false" outlineLevel="0" collapsed="false">
      <c r="A56" s="2" t="n">
        <v>55</v>
      </c>
      <c r="B56" s="2" t="s">
        <v>397</v>
      </c>
      <c r="C56" s="2" t="s">
        <v>7</v>
      </c>
      <c r="D56" s="2" t="n">
        <v>2</v>
      </c>
      <c r="E56" s="2" t="s">
        <v>1805</v>
      </c>
      <c r="F56" s="2" t="s">
        <v>1792</v>
      </c>
      <c r="G56" s="2" t="s">
        <v>1783</v>
      </c>
    </row>
    <row r="57" customFormat="false" ht="15" hidden="false" customHeight="false" outlineLevel="0" collapsed="false">
      <c r="A57" s="2" t="n">
        <v>56</v>
      </c>
      <c r="B57" s="2" t="s">
        <v>947</v>
      </c>
      <c r="C57" s="2" t="s">
        <v>7</v>
      </c>
      <c r="D57" s="2" t="n">
        <v>2</v>
      </c>
      <c r="E57" s="2" t="s">
        <v>1791</v>
      </c>
      <c r="F57" s="2" t="s">
        <v>1792</v>
      </c>
      <c r="G57" s="2" t="s">
        <v>1783</v>
      </c>
    </row>
    <row r="58" customFormat="false" ht="15" hidden="false" customHeight="false" outlineLevel="0" collapsed="false">
      <c r="A58" s="2" t="n">
        <v>57</v>
      </c>
      <c r="B58" s="2" t="s">
        <v>403</v>
      </c>
      <c r="C58" s="2" t="s">
        <v>7</v>
      </c>
      <c r="D58" s="2" t="n">
        <v>2</v>
      </c>
      <c r="E58" s="2" t="s">
        <v>1805</v>
      </c>
      <c r="F58" s="2" t="s">
        <v>1792</v>
      </c>
      <c r="G58" s="2" t="s">
        <v>1783</v>
      </c>
    </row>
    <row r="59" customFormat="false" ht="15" hidden="false" customHeight="false" outlineLevel="0" collapsed="false">
      <c r="A59" s="2" t="n">
        <v>58</v>
      </c>
      <c r="B59" s="2" t="s">
        <v>804</v>
      </c>
      <c r="C59" s="2" t="s">
        <v>7</v>
      </c>
      <c r="D59" s="2" t="n">
        <v>2</v>
      </c>
      <c r="E59" s="2" t="s">
        <v>1794</v>
      </c>
      <c r="F59" s="2" t="s">
        <v>1792</v>
      </c>
      <c r="G59" s="2" t="s">
        <v>1783</v>
      </c>
    </row>
    <row r="60" customFormat="false" ht="15" hidden="false" customHeight="false" outlineLevel="0" collapsed="false">
      <c r="A60" s="2" t="n">
        <v>59</v>
      </c>
      <c r="B60" s="2" t="s">
        <v>364</v>
      </c>
      <c r="C60" s="2" t="s">
        <v>7</v>
      </c>
      <c r="D60" s="2" t="n">
        <v>2</v>
      </c>
      <c r="E60" s="2" t="s">
        <v>1806</v>
      </c>
      <c r="F60" s="2" t="s">
        <v>1792</v>
      </c>
      <c r="G60" s="2" t="s">
        <v>1783</v>
      </c>
    </row>
    <row r="61" customFormat="false" ht="15" hidden="false" customHeight="false" outlineLevel="0" collapsed="false">
      <c r="A61" s="2" t="n">
        <v>60</v>
      </c>
      <c r="B61" s="2" t="s">
        <v>38</v>
      </c>
      <c r="C61" s="2" t="s">
        <v>7</v>
      </c>
      <c r="D61" s="2" t="n">
        <v>2</v>
      </c>
      <c r="E61" s="2" t="s">
        <v>1797</v>
      </c>
      <c r="F61" s="2" t="s">
        <v>1792</v>
      </c>
      <c r="G61" s="2" t="s">
        <v>1783</v>
      </c>
    </row>
    <row r="62" customFormat="false" ht="15" hidden="false" customHeight="false" outlineLevel="0" collapsed="false">
      <c r="A62" s="2" t="n">
        <v>61</v>
      </c>
      <c r="B62" s="2" t="s">
        <v>374</v>
      </c>
      <c r="C62" s="2" t="s">
        <v>7</v>
      </c>
      <c r="D62" s="2" t="n">
        <v>2</v>
      </c>
      <c r="E62" s="2" t="s">
        <v>1806</v>
      </c>
      <c r="F62" s="2" t="s">
        <v>1792</v>
      </c>
      <c r="G62" s="2" t="s">
        <v>1783</v>
      </c>
    </row>
    <row r="63" customFormat="false" ht="15" hidden="false" customHeight="false" outlineLevel="0" collapsed="false">
      <c r="A63" s="2" t="n">
        <v>62</v>
      </c>
      <c r="B63" s="2" t="s">
        <v>633</v>
      </c>
      <c r="C63" s="2" t="s">
        <v>7</v>
      </c>
      <c r="D63" s="2" t="n">
        <v>2</v>
      </c>
      <c r="E63" s="2" t="s">
        <v>1803</v>
      </c>
      <c r="F63" s="2" t="s">
        <v>1792</v>
      </c>
      <c r="G63" s="2" t="s">
        <v>1783</v>
      </c>
    </row>
    <row r="64" customFormat="false" ht="15" hidden="false" customHeight="false" outlineLevel="0" collapsed="false">
      <c r="A64" s="2" t="n">
        <v>63</v>
      </c>
      <c r="B64" s="2" t="s">
        <v>983</v>
      </c>
      <c r="C64" s="2" t="s">
        <v>7</v>
      </c>
      <c r="D64" s="2" t="n">
        <v>1</v>
      </c>
      <c r="E64" s="2" t="s">
        <v>905</v>
      </c>
      <c r="F64" s="2" t="s">
        <v>1807</v>
      </c>
      <c r="G64" s="2" t="s">
        <v>1783</v>
      </c>
    </row>
    <row r="65" customFormat="false" ht="15" hidden="false" customHeight="false" outlineLevel="0" collapsed="false">
      <c r="A65" s="2" t="n">
        <v>64</v>
      </c>
      <c r="B65" s="2" t="s">
        <v>966</v>
      </c>
      <c r="C65" s="2" t="s">
        <v>7</v>
      </c>
      <c r="D65" s="2" t="n">
        <v>1</v>
      </c>
      <c r="E65" s="2" t="s">
        <v>905</v>
      </c>
      <c r="F65" s="2" t="s">
        <v>1807</v>
      </c>
      <c r="G65" s="2" t="s">
        <v>1783</v>
      </c>
    </row>
    <row r="66" customFormat="false" ht="15" hidden="false" customHeight="false" outlineLevel="0" collapsed="false">
      <c r="A66" s="2" t="n">
        <v>65</v>
      </c>
      <c r="B66" s="2" t="s">
        <v>630</v>
      </c>
      <c r="C66" s="2" t="s">
        <v>7</v>
      </c>
      <c r="D66" s="2" t="n">
        <v>1</v>
      </c>
      <c r="E66" s="2" t="s">
        <v>608</v>
      </c>
      <c r="F66" s="2" t="s">
        <v>1807</v>
      </c>
      <c r="G66" s="2" t="s">
        <v>1783</v>
      </c>
    </row>
    <row r="67" customFormat="false" ht="15" hidden="false" customHeight="false" outlineLevel="0" collapsed="false">
      <c r="A67" s="2" t="n">
        <v>66</v>
      </c>
      <c r="B67" s="2" t="s">
        <v>817</v>
      </c>
      <c r="C67" s="2" t="s">
        <v>7</v>
      </c>
      <c r="D67" s="2" t="n">
        <v>1</v>
      </c>
      <c r="E67" s="2" t="s">
        <v>791</v>
      </c>
      <c r="F67" s="2" t="s">
        <v>1807</v>
      </c>
      <c r="G67" s="2" t="s">
        <v>1783</v>
      </c>
    </row>
    <row r="68" customFormat="false" ht="15" hidden="false" customHeight="false" outlineLevel="0" collapsed="false">
      <c r="A68" s="2" t="n">
        <v>67</v>
      </c>
      <c r="B68" s="2" t="s">
        <v>184</v>
      </c>
      <c r="C68" s="2" t="s">
        <v>7</v>
      </c>
      <c r="D68" s="2" t="n">
        <v>1</v>
      </c>
      <c r="E68" s="2" t="s">
        <v>151</v>
      </c>
      <c r="F68" s="2" t="s">
        <v>1807</v>
      </c>
      <c r="G68" s="2" t="s">
        <v>1783</v>
      </c>
    </row>
    <row r="69" customFormat="false" ht="15" hidden="false" customHeight="false" outlineLevel="0" collapsed="false">
      <c r="A69" s="2" t="n">
        <v>68</v>
      </c>
      <c r="B69" s="2" t="s">
        <v>953</v>
      </c>
      <c r="C69" s="2" t="s">
        <v>7</v>
      </c>
      <c r="D69" s="2" t="n">
        <v>1</v>
      </c>
      <c r="E69" s="2" t="s">
        <v>905</v>
      </c>
      <c r="F69" s="2" t="s">
        <v>1807</v>
      </c>
      <c r="G69" s="2" t="s">
        <v>1783</v>
      </c>
    </row>
    <row r="70" customFormat="false" ht="15" hidden="false" customHeight="false" outlineLevel="0" collapsed="false">
      <c r="A70" s="2" t="n">
        <v>69</v>
      </c>
      <c r="B70" s="2" t="s">
        <v>809</v>
      </c>
      <c r="C70" s="2" t="s">
        <v>7</v>
      </c>
      <c r="D70" s="2" t="n">
        <v>1</v>
      </c>
      <c r="E70" s="2" t="s">
        <v>791</v>
      </c>
      <c r="F70" s="2" t="s">
        <v>1807</v>
      </c>
      <c r="G70" s="2" t="s">
        <v>1783</v>
      </c>
    </row>
    <row r="71" customFormat="false" ht="15" hidden="false" customHeight="false" outlineLevel="0" collapsed="false">
      <c r="A71" s="2" t="n">
        <v>70</v>
      </c>
      <c r="B71" s="2" t="s">
        <v>353</v>
      </c>
      <c r="C71" s="2" t="s">
        <v>7</v>
      </c>
      <c r="D71" s="2" t="n">
        <v>1</v>
      </c>
      <c r="E71" s="2" t="s">
        <v>317</v>
      </c>
      <c r="F71" s="2" t="s">
        <v>1807</v>
      </c>
      <c r="G71" s="2" t="s">
        <v>1783</v>
      </c>
    </row>
    <row r="72" customFormat="false" ht="15" hidden="false" customHeight="false" outlineLevel="0" collapsed="false">
      <c r="A72" s="2" t="n">
        <v>71</v>
      </c>
      <c r="B72" s="2" t="s">
        <v>659</v>
      </c>
      <c r="C72" s="2" t="s">
        <v>7</v>
      </c>
      <c r="D72" s="2" t="n">
        <v>1</v>
      </c>
      <c r="E72" s="2" t="s">
        <v>608</v>
      </c>
      <c r="F72" s="2" t="s">
        <v>1807</v>
      </c>
      <c r="G72" s="2" t="s">
        <v>1783</v>
      </c>
    </row>
    <row r="73" customFormat="false" ht="15" hidden="false" customHeight="false" outlineLevel="0" collapsed="false">
      <c r="A73" s="2" t="n">
        <v>72</v>
      </c>
      <c r="B73" s="2" t="s">
        <v>940</v>
      </c>
      <c r="C73" s="2" t="s">
        <v>7</v>
      </c>
      <c r="D73" s="2" t="n">
        <v>1</v>
      </c>
      <c r="E73" s="2" t="s">
        <v>905</v>
      </c>
      <c r="F73" s="2" t="s">
        <v>1807</v>
      </c>
      <c r="G73" s="2" t="s">
        <v>1783</v>
      </c>
    </row>
    <row r="74" customFormat="false" ht="15" hidden="false" customHeight="false" outlineLevel="0" collapsed="false">
      <c r="A74" s="2" t="n">
        <v>73</v>
      </c>
      <c r="B74" s="2" t="s">
        <v>928</v>
      </c>
      <c r="C74" s="2" t="s">
        <v>7</v>
      </c>
      <c r="D74" s="2" t="n">
        <v>1</v>
      </c>
      <c r="E74" s="2" t="s">
        <v>905</v>
      </c>
      <c r="F74" s="2" t="s">
        <v>1807</v>
      </c>
      <c r="G74" s="2" t="s">
        <v>1783</v>
      </c>
    </row>
    <row r="75" customFormat="false" ht="15" hidden="false" customHeight="false" outlineLevel="0" collapsed="false">
      <c r="A75" s="2" t="n">
        <v>74</v>
      </c>
      <c r="B75" s="2" t="s">
        <v>51</v>
      </c>
      <c r="C75" s="2" t="s">
        <v>7</v>
      </c>
      <c r="D75" s="2" t="n">
        <v>1</v>
      </c>
      <c r="E75" s="2" t="s">
        <v>9</v>
      </c>
      <c r="F75" s="2" t="s">
        <v>1807</v>
      </c>
      <c r="G75" s="2" t="s">
        <v>1783</v>
      </c>
    </row>
    <row r="76" customFormat="false" ht="15" hidden="false" customHeight="false" outlineLevel="0" collapsed="false">
      <c r="A76" s="2" t="n">
        <v>75</v>
      </c>
      <c r="B76" s="2" t="s">
        <v>638</v>
      </c>
      <c r="C76" s="2" t="s">
        <v>7</v>
      </c>
      <c r="D76" s="2" t="n">
        <v>1</v>
      </c>
      <c r="E76" s="2" t="s">
        <v>608</v>
      </c>
      <c r="F76" s="2" t="s">
        <v>1807</v>
      </c>
      <c r="G76" s="2" t="s">
        <v>1783</v>
      </c>
    </row>
    <row r="77" customFormat="false" ht="15" hidden="false" customHeight="false" outlineLevel="0" collapsed="false">
      <c r="A77" s="2" t="n">
        <v>76</v>
      </c>
      <c r="B77" s="2" t="s">
        <v>390</v>
      </c>
      <c r="C77" s="2" t="s">
        <v>7</v>
      </c>
      <c r="D77" s="2" t="n">
        <v>1</v>
      </c>
      <c r="E77" s="2" t="s">
        <v>317</v>
      </c>
      <c r="F77" s="2" t="s">
        <v>1807</v>
      </c>
      <c r="G77" s="2" t="s">
        <v>1783</v>
      </c>
    </row>
    <row r="78" customFormat="false" ht="15" hidden="false" customHeight="false" outlineLevel="0" collapsed="false">
      <c r="A78" s="2" t="n">
        <v>77</v>
      </c>
      <c r="B78" s="2" t="s">
        <v>341</v>
      </c>
      <c r="C78" s="2" t="s">
        <v>7</v>
      </c>
      <c r="D78" s="2" t="n">
        <v>1</v>
      </c>
      <c r="E78" s="2" t="s">
        <v>317</v>
      </c>
      <c r="F78" s="2" t="s">
        <v>1807</v>
      </c>
      <c r="G78" s="2" t="s">
        <v>1783</v>
      </c>
    </row>
    <row r="79" customFormat="false" ht="15" hidden="false" customHeight="false" outlineLevel="0" collapsed="false">
      <c r="A79" s="2" t="n">
        <v>78</v>
      </c>
      <c r="B79" s="2" t="s">
        <v>362</v>
      </c>
      <c r="C79" s="2" t="s">
        <v>7</v>
      </c>
      <c r="D79" s="2" t="n">
        <v>1</v>
      </c>
      <c r="E79" s="2" t="s">
        <v>317</v>
      </c>
      <c r="F79" s="2" t="s">
        <v>1807</v>
      </c>
      <c r="G79" s="2" t="s">
        <v>1783</v>
      </c>
    </row>
    <row r="80" customFormat="false" ht="15" hidden="false" customHeight="false" outlineLevel="0" collapsed="false">
      <c r="A80" s="2" t="n">
        <v>79</v>
      </c>
      <c r="B80" s="2" t="s">
        <v>386</v>
      </c>
      <c r="C80" s="2" t="s">
        <v>7</v>
      </c>
      <c r="D80" s="2" t="n">
        <v>1</v>
      </c>
      <c r="E80" s="2" t="s">
        <v>317</v>
      </c>
      <c r="F80" s="2" t="s">
        <v>1807</v>
      </c>
      <c r="G80" s="2" t="s">
        <v>1783</v>
      </c>
    </row>
    <row r="81" customFormat="false" ht="15" hidden="false" customHeight="false" outlineLevel="0" collapsed="false">
      <c r="A81" s="2" t="n">
        <v>80</v>
      </c>
      <c r="B81" s="2" t="s">
        <v>1107</v>
      </c>
      <c r="C81" s="2" t="s">
        <v>7</v>
      </c>
      <c r="D81" s="2" t="n">
        <v>1</v>
      </c>
      <c r="E81" s="2" t="s">
        <v>1100</v>
      </c>
      <c r="F81" s="2" t="s">
        <v>1807</v>
      </c>
      <c r="G81" s="2" t="s">
        <v>1783</v>
      </c>
    </row>
    <row r="82" customFormat="false" ht="15" hidden="false" customHeight="false" outlineLevel="0" collapsed="false">
      <c r="A82" s="2" t="n">
        <v>81</v>
      </c>
      <c r="B82" s="2" t="s">
        <v>378</v>
      </c>
      <c r="C82" s="2" t="s">
        <v>7</v>
      </c>
      <c r="D82" s="2" t="n">
        <v>1</v>
      </c>
      <c r="E82" s="2" t="s">
        <v>317</v>
      </c>
      <c r="F82" s="2" t="s">
        <v>1807</v>
      </c>
      <c r="G82" s="2" t="s">
        <v>1783</v>
      </c>
    </row>
    <row r="83" customFormat="false" ht="15" hidden="false" customHeight="false" outlineLevel="0" collapsed="false">
      <c r="A83" s="2" t="n">
        <v>82</v>
      </c>
      <c r="B83" s="2" t="s">
        <v>332</v>
      </c>
      <c r="C83" s="2" t="s">
        <v>7</v>
      </c>
      <c r="D83" s="2" t="n">
        <v>1</v>
      </c>
      <c r="E83" s="2" t="s">
        <v>317</v>
      </c>
      <c r="F83" s="2" t="s">
        <v>1807</v>
      </c>
      <c r="G83" s="2" t="s">
        <v>1783</v>
      </c>
    </row>
    <row r="84" customFormat="false" ht="15" hidden="false" customHeight="false" outlineLevel="0" collapsed="false">
      <c r="A84" s="2" t="n">
        <v>83</v>
      </c>
      <c r="B84" s="2" t="s">
        <v>1060</v>
      </c>
      <c r="C84" s="2" t="s">
        <v>7</v>
      </c>
      <c r="D84" s="2" t="n">
        <v>1</v>
      </c>
      <c r="E84" s="2" t="s">
        <v>1020</v>
      </c>
      <c r="F84" s="2" t="s">
        <v>1807</v>
      </c>
      <c r="G84" s="2" t="s">
        <v>1783</v>
      </c>
    </row>
    <row r="85" customFormat="false" ht="15" hidden="false" customHeight="false" outlineLevel="0" collapsed="false">
      <c r="A85" s="2" t="n">
        <v>84</v>
      </c>
      <c r="B85" s="2" t="s">
        <v>375</v>
      </c>
      <c r="C85" s="2" t="s">
        <v>7</v>
      </c>
      <c r="D85" s="2" t="n">
        <v>1</v>
      </c>
      <c r="E85" s="2" t="s">
        <v>317</v>
      </c>
      <c r="F85" s="2" t="s">
        <v>1807</v>
      </c>
      <c r="G85" s="2" t="s">
        <v>1783</v>
      </c>
    </row>
    <row r="86" customFormat="false" ht="15" hidden="false" customHeight="false" outlineLevel="0" collapsed="false">
      <c r="A86" s="2" t="n">
        <v>85</v>
      </c>
      <c r="B86" s="2" t="s">
        <v>955</v>
      </c>
      <c r="C86" s="2" t="s">
        <v>7</v>
      </c>
      <c r="D86" s="2" t="n">
        <v>1</v>
      </c>
      <c r="E86" s="2" t="s">
        <v>905</v>
      </c>
      <c r="F86" s="2" t="s">
        <v>1807</v>
      </c>
      <c r="G86" s="2" t="s">
        <v>1783</v>
      </c>
    </row>
    <row r="87" customFormat="false" ht="15" hidden="false" customHeight="false" outlineLevel="0" collapsed="false">
      <c r="A87" s="2" t="n">
        <v>86</v>
      </c>
      <c r="B87" s="2" t="s">
        <v>934</v>
      </c>
      <c r="C87" s="2" t="s">
        <v>7</v>
      </c>
      <c r="D87" s="2" t="n">
        <v>1</v>
      </c>
      <c r="E87" s="2" t="s">
        <v>905</v>
      </c>
      <c r="F87" s="2" t="s">
        <v>1807</v>
      </c>
      <c r="G87" s="2" t="s">
        <v>1783</v>
      </c>
    </row>
    <row r="88" customFormat="false" ht="15" hidden="false" customHeight="false" outlineLevel="0" collapsed="false">
      <c r="A88" s="2" t="n">
        <v>87</v>
      </c>
      <c r="B88" s="2" t="s">
        <v>739</v>
      </c>
      <c r="C88" s="2" t="s">
        <v>7</v>
      </c>
      <c r="D88" s="2" t="n">
        <v>1</v>
      </c>
      <c r="E88" s="2" t="s">
        <v>731</v>
      </c>
      <c r="F88" s="2" t="s">
        <v>1807</v>
      </c>
      <c r="G88" s="2" t="s">
        <v>1783</v>
      </c>
    </row>
    <row r="89" customFormat="false" ht="15" hidden="false" customHeight="false" outlineLevel="0" collapsed="false">
      <c r="A89" s="2" t="n">
        <v>88</v>
      </c>
      <c r="B89" s="2" t="s">
        <v>343</v>
      </c>
      <c r="C89" s="2" t="s">
        <v>7</v>
      </c>
      <c r="D89" s="2" t="n">
        <v>1</v>
      </c>
      <c r="E89" s="2" t="s">
        <v>317</v>
      </c>
      <c r="F89" s="2" t="s">
        <v>1807</v>
      </c>
      <c r="G89" s="2" t="s">
        <v>1783</v>
      </c>
    </row>
    <row r="90" customFormat="false" ht="15" hidden="false" customHeight="false" outlineLevel="0" collapsed="false">
      <c r="A90" s="2" t="n">
        <v>89</v>
      </c>
      <c r="B90" s="2" t="s">
        <v>827</v>
      </c>
      <c r="C90" s="2" t="s">
        <v>7</v>
      </c>
      <c r="D90" s="2" t="n">
        <v>1</v>
      </c>
      <c r="E90" s="2" t="s">
        <v>791</v>
      </c>
      <c r="F90" s="2" t="s">
        <v>1807</v>
      </c>
      <c r="G90" s="2" t="s">
        <v>1783</v>
      </c>
    </row>
    <row r="91" customFormat="false" ht="15" hidden="false" customHeight="false" outlineLevel="0" collapsed="false">
      <c r="A91" s="2" t="n">
        <v>90</v>
      </c>
      <c r="B91" s="2" t="s">
        <v>806</v>
      </c>
      <c r="C91" s="2" t="s">
        <v>7</v>
      </c>
      <c r="D91" s="2" t="n">
        <v>1</v>
      </c>
      <c r="E91" s="2" t="s">
        <v>791</v>
      </c>
      <c r="F91" s="2" t="s">
        <v>1807</v>
      </c>
      <c r="G91" s="2" t="s">
        <v>1783</v>
      </c>
    </row>
    <row r="92" customFormat="false" ht="15" hidden="false" customHeight="false" outlineLevel="0" collapsed="false">
      <c r="A92" s="2" t="n">
        <v>91</v>
      </c>
      <c r="B92" s="2" t="s">
        <v>819</v>
      </c>
      <c r="C92" s="2" t="s">
        <v>7</v>
      </c>
      <c r="D92" s="2" t="n">
        <v>1</v>
      </c>
      <c r="E92" s="2" t="s">
        <v>791</v>
      </c>
      <c r="F92" s="2" t="s">
        <v>1807</v>
      </c>
      <c r="G92" s="2" t="s">
        <v>1783</v>
      </c>
    </row>
    <row r="93" customFormat="false" ht="15" hidden="false" customHeight="false" outlineLevel="0" collapsed="false">
      <c r="A93" s="2" t="n">
        <v>92</v>
      </c>
      <c r="B93" s="2" t="s">
        <v>619</v>
      </c>
      <c r="C93" s="2" t="s">
        <v>7</v>
      </c>
      <c r="D93" s="2" t="n">
        <v>1</v>
      </c>
      <c r="E93" s="2" t="s">
        <v>608</v>
      </c>
      <c r="F93" s="2" t="s">
        <v>1807</v>
      </c>
      <c r="G93" s="2" t="s">
        <v>1783</v>
      </c>
    </row>
    <row r="94" customFormat="false" ht="15" hidden="false" customHeight="false" outlineLevel="0" collapsed="false">
      <c r="A94" s="2" t="n">
        <v>93</v>
      </c>
      <c r="B94" s="2" t="s">
        <v>1051</v>
      </c>
      <c r="C94" s="2" t="s">
        <v>7</v>
      </c>
      <c r="D94" s="2" t="n">
        <v>1</v>
      </c>
      <c r="E94" s="2" t="s">
        <v>1020</v>
      </c>
      <c r="F94" s="2" t="s">
        <v>1807</v>
      </c>
      <c r="G94" s="2" t="s">
        <v>1783</v>
      </c>
    </row>
    <row r="95" customFormat="false" ht="15" hidden="false" customHeight="false" outlineLevel="0" collapsed="false">
      <c r="A95" s="2" t="n">
        <v>94</v>
      </c>
      <c r="B95" s="2" t="s">
        <v>399</v>
      </c>
      <c r="C95" s="2" t="s">
        <v>7</v>
      </c>
      <c r="D95" s="2" t="n">
        <v>1</v>
      </c>
      <c r="E95" s="2" t="s">
        <v>317</v>
      </c>
      <c r="F95" s="2" t="s">
        <v>1807</v>
      </c>
      <c r="G95" s="2" t="s">
        <v>1783</v>
      </c>
    </row>
    <row r="96" customFormat="false" ht="15" hidden="false" customHeight="false" outlineLevel="0" collapsed="false">
      <c r="A96" s="2" t="n">
        <v>95</v>
      </c>
      <c r="B96" s="2" t="s">
        <v>946</v>
      </c>
      <c r="C96" s="2" t="s">
        <v>7</v>
      </c>
      <c r="D96" s="2" t="n">
        <v>1</v>
      </c>
      <c r="E96" s="2" t="s">
        <v>905</v>
      </c>
      <c r="F96" s="2" t="s">
        <v>1807</v>
      </c>
      <c r="G96" s="2" t="s">
        <v>1783</v>
      </c>
    </row>
    <row r="97" customFormat="false" ht="15" hidden="false" customHeight="false" outlineLevel="0" collapsed="false">
      <c r="A97" s="2" t="n">
        <v>96</v>
      </c>
      <c r="B97" s="2" t="s">
        <v>49</v>
      </c>
      <c r="C97" s="2" t="s">
        <v>7</v>
      </c>
      <c r="D97" s="2" t="n">
        <v>1</v>
      </c>
      <c r="E97" s="2" t="s">
        <v>9</v>
      </c>
      <c r="F97" s="2" t="s">
        <v>1807</v>
      </c>
      <c r="G97" s="2" t="s">
        <v>1783</v>
      </c>
    </row>
    <row r="98" customFormat="false" ht="15" hidden="false" customHeight="false" outlineLevel="0" collapsed="false">
      <c r="A98" s="2" t="n">
        <v>97</v>
      </c>
      <c r="B98" s="2" t="s">
        <v>631</v>
      </c>
      <c r="C98" s="2" t="s">
        <v>7</v>
      </c>
      <c r="D98" s="2" t="n">
        <v>1</v>
      </c>
      <c r="E98" s="2" t="s">
        <v>608</v>
      </c>
      <c r="F98" s="2" t="s">
        <v>1807</v>
      </c>
      <c r="G98" s="2" t="s">
        <v>1783</v>
      </c>
    </row>
    <row r="99" customFormat="false" ht="15" hidden="false" customHeight="false" outlineLevel="0" collapsed="false">
      <c r="A99" s="2" t="n">
        <v>98</v>
      </c>
      <c r="B99" s="2" t="s">
        <v>1040</v>
      </c>
      <c r="C99" s="2" t="s">
        <v>7</v>
      </c>
      <c r="D99" s="2" t="n">
        <v>1</v>
      </c>
      <c r="E99" s="2" t="s">
        <v>1020</v>
      </c>
      <c r="F99" s="2" t="s">
        <v>1807</v>
      </c>
      <c r="G99" s="2" t="s">
        <v>1783</v>
      </c>
    </row>
    <row r="100" customFormat="false" ht="15" hidden="false" customHeight="false" outlineLevel="0" collapsed="false">
      <c r="A100" s="2" t="n">
        <v>99</v>
      </c>
      <c r="B100" s="2" t="s">
        <v>975</v>
      </c>
      <c r="C100" s="2" t="s">
        <v>7</v>
      </c>
      <c r="D100" s="2" t="n">
        <v>1</v>
      </c>
      <c r="E100" s="2" t="s">
        <v>905</v>
      </c>
      <c r="F100" s="2" t="s">
        <v>1807</v>
      </c>
      <c r="G100" s="2" t="s">
        <v>1783</v>
      </c>
    </row>
    <row r="101" customFormat="false" ht="15" hidden="false" customHeight="false" outlineLevel="0" collapsed="false">
      <c r="A101" s="2" t="n">
        <v>100</v>
      </c>
      <c r="B101" s="2" t="s">
        <v>621</v>
      </c>
      <c r="C101" s="2" t="s">
        <v>7</v>
      </c>
      <c r="D101" s="2" t="n">
        <v>1</v>
      </c>
      <c r="E101" s="2" t="s">
        <v>608</v>
      </c>
      <c r="F101" s="2" t="s">
        <v>1807</v>
      </c>
      <c r="G101" s="2" t="s">
        <v>1783</v>
      </c>
    </row>
    <row r="102" customFormat="false" ht="15" hidden="false" customHeight="false" outlineLevel="0" collapsed="false">
      <c r="A102" s="2" t="n">
        <v>101</v>
      </c>
      <c r="B102" s="2" t="s">
        <v>918</v>
      </c>
      <c r="C102" s="2" t="s">
        <v>7</v>
      </c>
      <c r="D102" s="2" t="n">
        <v>1</v>
      </c>
      <c r="E102" s="2" t="s">
        <v>905</v>
      </c>
      <c r="F102" s="2" t="s">
        <v>1807</v>
      </c>
      <c r="G102" s="2" t="s">
        <v>1783</v>
      </c>
    </row>
    <row r="103" customFormat="false" ht="15" hidden="false" customHeight="false" outlineLevel="0" collapsed="false">
      <c r="A103" s="2" t="n">
        <v>102</v>
      </c>
      <c r="B103" s="2" t="s">
        <v>916</v>
      </c>
      <c r="C103" s="2" t="s">
        <v>7</v>
      </c>
      <c r="D103" s="2" t="n">
        <v>1</v>
      </c>
      <c r="E103" s="2" t="s">
        <v>905</v>
      </c>
      <c r="F103" s="2" t="s">
        <v>1807</v>
      </c>
      <c r="G103" s="2" t="s">
        <v>1783</v>
      </c>
    </row>
    <row r="104" customFormat="false" ht="15" hidden="false" customHeight="false" outlineLevel="0" collapsed="false">
      <c r="A104" s="2" t="n">
        <v>103</v>
      </c>
      <c r="B104" s="2" t="s">
        <v>831</v>
      </c>
      <c r="C104" s="2" t="s">
        <v>7</v>
      </c>
      <c r="D104" s="2" t="n">
        <v>1</v>
      </c>
      <c r="E104" s="2" t="s">
        <v>791</v>
      </c>
      <c r="F104" s="2" t="s">
        <v>1807</v>
      </c>
      <c r="G104" s="2" t="s">
        <v>1783</v>
      </c>
    </row>
    <row r="105" customFormat="false" ht="15" hidden="false" customHeight="false" outlineLevel="0" collapsed="false">
      <c r="A105" s="2" t="n">
        <v>104</v>
      </c>
      <c r="B105" s="2" t="s">
        <v>751</v>
      </c>
      <c r="C105" s="2" t="s">
        <v>7</v>
      </c>
      <c r="D105" s="2" t="n">
        <v>1</v>
      </c>
      <c r="E105" s="2" t="s">
        <v>731</v>
      </c>
      <c r="F105" s="2" t="s">
        <v>1807</v>
      </c>
      <c r="G105" s="2" t="s">
        <v>1783</v>
      </c>
    </row>
    <row r="106" customFormat="false" ht="15" hidden="false" customHeight="false" outlineLevel="0" collapsed="false">
      <c r="A106" s="2" t="n">
        <v>105</v>
      </c>
      <c r="B106" s="2" t="s">
        <v>409</v>
      </c>
      <c r="C106" s="2" t="s">
        <v>7</v>
      </c>
      <c r="D106" s="2" t="n">
        <v>1</v>
      </c>
      <c r="E106" s="2" t="s">
        <v>317</v>
      </c>
      <c r="F106" s="2" t="s">
        <v>1807</v>
      </c>
      <c r="G106" s="2" t="s">
        <v>1783</v>
      </c>
    </row>
    <row r="107" customFormat="false" ht="15" hidden="false" customHeight="false" outlineLevel="0" collapsed="false">
      <c r="A107" s="2" t="n">
        <v>106</v>
      </c>
      <c r="B107" s="2" t="s">
        <v>808</v>
      </c>
      <c r="C107" s="2" t="s">
        <v>7</v>
      </c>
      <c r="D107" s="2" t="n">
        <v>1</v>
      </c>
      <c r="E107" s="2" t="s">
        <v>791</v>
      </c>
      <c r="F107" s="2" t="s">
        <v>1807</v>
      </c>
      <c r="G107" s="2" t="s">
        <v>1783</v>
      </c>
    </row>
    <row r="108" customFormat="false" ht="15" hidden="false" customHeight="false" outlineLevel="0" collapsed="false">
      <c r="A108" s="2" t="n">
        <v>107</v>
      </c>
      <c r="B108" s="2" t="s">
        <v>52</v>
      </c>
      <c r="C108" s="2" t="s">
        <v>7</v>
      </c>
      <c r="D108" s="2" t="n">
        <v>1</v>
      </c>
      <c r="E108" s="2" t="s">
        <v>9</v>
      </c>
      <c r="F108" s="2" t="s">
        <v>1807</v>
      </c>
      <c r="G108" s="2" t="s">
        <v>1783</v>
      </c>
    </row>
    <row r="109" customFormat="false" ht="15" hidden="false" customHeight="false" outlineLevel="0" collapsed="false">
      <c r="A109" s="2" t="n">
        <v>108</v>
      </c>
      <c r="B109" s="2" t="s">
        <v>357</v>
      </c>
      <c r="C109" s="2" t="s">
        <v>7</v>
      </c>
      <c r="D109" s="2" t="n">
        <v>1</v>
      </c>
      <c r="E109" s="2" t="s">
        <v>317</v>
      </c>
      <c r="F109" s="2" t="s">
        <v>1807</v>
      </c>
      <c r="G109" s="2" t="s">
        <v>1783</v>
      </c>
    </row>
    <row r="110" customFormat="false" ht="15" hidden="false" customHeight="false" outlineLevel="0" collapsed="false">
      <c r="A110" s="2" t="n">
        <v>109</v>
      </c>
      <c r="B110" s="2" t="s">
        <v>929</v>
      </c>
      <c r="C110" s="2" t="s">
        <v>7</v>
      </c>
      <c r="D110" s="2" t="n">
        <v>1</v>
      </c>
      <c r="E110" s="2" t="s">
        <v>905</v>
      </c>
      <c r="F110" s="2" t="s">
        <v>1807</v>
      </c>
      <c r="G110" s="2" t="s">
        <v>1783</v>
      </c>
    </row>
    <row r="111" customFormat="false" ht="15" hidden="false" customHeight="false" outlineLevel="0" collapsed="false">
      <c r="A111" s="2" t="n">
        <v>110</v>
      </c>
      <c r="B111" s="2" t="s">
        <v>925</v>
      </c>
      <c r="C111" s="2" t="s">
        <v>7</v>
      </c>
      <c r="D111" s="2" t="n">
        <v>1</v>
      </c>
      <c r="E111" s="2" t="s">
        <v>905</v>
      </c>
      <c r="F111" s="2" t="s">
        <v>1807</v>
      </c>
      <c r="G111" s="2" t="s">
        <v>1783</v>
      </c>
    </row>
    <row r="112" customFormat="false" ht="15" hidden="false" customHeight="false" outlineLevel="0" collapsed="false">
      <c r="A112" s="2" t="n">
        <v>111</v>
      </c>
      <c r="B112" s="2" t="s">
        <v>801</v>
      </c>
      <c r="C112" s="2" t="s">
        <v>7</v>
      </c>
      <c r="D112" s="2" t="n">
        <v>1</v>
      </c>
      <c r="E112" s="2" t="s">
        <v>791</v>
      </c>
      <c r="F112" s="2" t="s">
        <v>1807</v>
      </c>
      <c r="G112" s="2" t="s">
        <v>1783</v>
      </c>
    </row>
    <row r="113" customFormat="false" ht="15" hidden="false" customHeight="false" outlineLevel="0" collapsed="false">
      <c r="A113" s="2" t="n">
        <v>112</v>
      </c>
      <c r="B113" s="2" t="s">
        <v>382</v>
      </c>
      <c r="C113" s="2" t="s">
        <v>7</v>
      </c>
      <c r="D113" s="2" t="n">
        <v>1</v>
      </c>
      <c r="E113" s="2" t="s">
        <v>317</v>
      </c>
      <c r="F113" s="2" t="s">
        <v>1807</v>
      </c>
      <c r="G113" s="2" t="s">
        <v>1783</v>
      </c>
    </row>
    <row r="114" customFormat="false" ht="15" hidden="false" customHeight="false" outlineLevel="0" collapsed="false">
      <c r="A114" s="2" t="n">
        <v>113</v>
      </c>
      <c r="B114" s="2" t="s">
        <v>578</v>
      </c>
      <c r="C114" s="2" t="s">
        <v>7</v>
      </c>
      <c r="D114" s="2" t="n">
        <v>1</v>
      </c>
      <c r="E114" s="2" t="s">
        <v>565</v>
      </c>
      <c r="F114" s="2" t="s">
        <v>1807</v>
      </c>
      <c r="G114" s="2" t="s">
        <v>1783</v>
      </c>
    </row>
    <row r="115" customFormat="false" ht="15" hidden="false" customHeight="false" outlineLevel="0" collapsed="false">
      <c r="A115" s="2" t="n">
        <v>114</v>
      </c>
      <c r="B115" s="2" t="s">
        <v>42</v>
      </c>
      <c r="C115" s="2" t="s">
        <v>7</v>
      </c>
      <c r="D115" s="2" t="n">
        <v>1</v>
      </c>
      <c r="E115" s="2" t="s">
        <v>9</v>
      </c>
      <c r="F115" s="2" t="s">
        <v>1807</v>
      </c>
      <c r="G115" s="2" t="s">
        <v>1783</v>
      </c>
    </row>
    <row r="116" customFormat="false" ht="15" hidden="false" customHeight="false" outlineLevel="0" collapsed="false">
      <c r="A116" s="2" t="n">
        <v>115</v>
      </c>
      <c r="B116" s="2" t="s">
        <v>181</v>
      </c>
      <c r="C116" s="2" t="s">
        <v>7</v>
      </c>
      <c r="D116" s="2" t="n">
        <v>1</v>
      </c>
      <c r="E116" s="2" t="s">
        <v>151</v>
      </c>
      <c r="F116" s="2" t="s">
        <v>1807</v>
      </c>
      <c r="G116" s="2" t="s">
        <v>1783</v>
      </c>
    </row>
    <row r="117" customFormat="false" ht="15" hidden="false" customHeight="false" outlineLevel="0" collapsed="false">
      <c r="A117" s="2" t="n">
        <v>116</v>
      </c>
      <c r="B117" s="2" t="s">
        <v>48</v>
      </c>
      <c r="C117" s="2" t="s">
        <v>7</v>
      </c>
      <c r="D117" s="2" t="n">
        <v>1</v>
      </c>
      <c r="E117" s="2" t="s">
        <v>9</v>
      </c>
      <c r="F117" s="2" t="s">
        <v>1807</v>
      </c>
      <c r="G117" s="2" t="s">
        <v>1783</v>
      </c>
    </row>
    <row r="118" customFormat="false" ht="15" hidden="false" customHeight="false" outlineLevel="0" collapsed="false">
      <c r="A118" s="2" t="n">
        <v>117</v>
      </c>
      <c r="B118" s="2" t="s">
        <v>828</v>
      </c>
      <c r="C118" s="2" t="s">
        <v>7</v>
      </c>
      <c r="D118" s="2" t="n">
        <v>1</v>
      </c>
      <c r="E118" s="2" t="s">
        <v>791</v>
      </c>
      <c r="F118" s="2" t="s">
        <v>1807</v>
      </c>
      <c r="G118" s="2" t="s">
        <v>1783</v>
      </c>
    </row>
    <row r="119" customFormat="false" ht="15" hidden="false" customHeight="false" outlineLevel="0" collapsed="false">
      <c r="A119" s="2" t="n">
        <v>118</v>
      </c>
      <c r="B119" s="2" t="s">
        <v>620</v>
      </c>
      <c r="C119" s="2" t="s">
        <v>7</v>
      </c>
      <c r="D119" s="2" t="n">
        <v>1</v>
      </c>
      <c r="E119" s="2" t="s">
        <v>608</v>
      </c>
      <c r="F119" s="2" t="s">
        <v>1807</v>
      </c>
      <c r="G119" s="2" t="s">
        <v>1783</v>
      </c>
    </row>
    <row r="120" customFormat="false" ht="15" hidden="false" customHeight="false" outlineLevel="0" collapsed="false">
      <c r="A120" s="2" t="n">
        <v>119</v>
      </c>
      <c r="B120" s="2" t="s">
        <v>963</v>
      </c>
      <c r="C120" s="2" t="s">
        <v>7</v>
      </c>
      <c r="D120" s="2" t="n">
        <v>1</v>
      </c>
      <c r="E120" s="2" t="s">
        <v>905</v>
      </c>
      <c r="F120" s="2" t="s">
        <v>1807</v>
      </c>
      <c r="G120" s="2" t="s">
        <v>1783</v>
      </c>
    </row>
    <row r="121" customFormat="false" ht="15" hidden="false" customHeight="false" outlineLevel="0" collapsed="false">
      <c r="A121" s="2" t="n">
        <v>120</v>
      </c>
      <c r="B121" s="2" t="s">
        <v>973</v>
      </c>
      <c r="C121" s="2" t="s">
        <v>7</v>
      </c>
      <c r="D121" s="2" t="n">
        <v>1</v>
      </c>
      <c r="E121" s="2" t="s">
        <v>905</v>
      </c>
      <c r="F121" s="2" t="s">
        <v>1807</v>
      </c>
      <c r="G121" s="2" t="s">
        <v>1783</v>
      </c>
    </row>
    <row r="122" customFormat="false" ht="15" hidden="false" customHeight="false" outlineLevel="0" collapsed="false">
      <c r="A122" s="2" t="n">
        <v>121</v>
      </c>
      <c r="B122" s="2" t="s">
        <v>959</v>
      </c>
      <c r="C122" s="2" t="s">
        <v>7</v>
      </c>
      <c r="D122" s="2" t="n">
        <v>1</v>
      </c>
      <c r="E122" s="2" t="s">
        <v>905</v>
      </c>
      <c r="F122" s="2" t="s">
        <v>1807</v>
      </c>
      <c r="G122" s="2" t="s">
        <v>1783</v>
      </c>
    </row>
    <row r="123" customFormat="false" ht="15" hidden="false" customHeight="false" outlineLevel="0" collapsed="false">
      <c r="A123" s="2" t="n">
        <v>122</v>
      </c>
      <c r="B123" s="2" t="s">
        <v>392</v>
      </c>
      <c r="C123" s="2" t="s">
        <v>7</v>
      </c>
      <c r="D123" s="2" t="n">
        <v>1</v>
      </c>
      <c r="E123" s="2" t="s">
        <v>317</v>
      </c>
      <c r="F123" s="2" t="s">
        <v>1807</v>
      </c>
      <c r="G123" s="2" t="s">
        <v>1783</v>
      </c>
    </row>
    <row r="124" customFormat="false" ht="15" hidden="false" customHeight="false" outlineLevel="0" collapsed="false">
      <c r="A124" s="2" t="n">
        <v>123</v>
      </c>
      <c r="B124" s="2" t="s">
        <v>63</v>
      </c>
      <c r="C124" s="2" t="s">
        <v>7</v>
      </c>
      <c r="D124" s="2" t="n">
        <v>1</v>
      </c>
      <c r="E124" s="2" t="s">
        <v>9</v>
      </c>
      <c r="F124" s="2" t="s">
        <v>1807</v>
      </c>
      <c r="G124" s="2" t="s">
        <v>1783</v>
      </c>
    </row>
    <row r="125" customFormat="false" ht="15" hidden="false" customHeight="false" outlineLevel="0" collapsed="false">
      <c r="A125" s="2" t="n">
        <v>124</v>
      </c>
      <c r="B125" s="2" t="s">
        <v>359</v>
      </c>
      <c r="C125" s="2" t="s">
        <v>7</v>
      </c>
      <c r="D125" s="2" t="n">
        <v>1</v>
      </c>
      <c r="E125" s="2" t="s">
        <v>317</v>
      </c>
      <c r="F125" s="2" t="s">
        <v>1807</v>
      </c>
      <c r="G125" s="2" t="s">
        <v>1783</v>
      </c>
    </row>
    <row r="126" customFormat="false" ht="15" hidden="false" customHeight="false" outlineLevel="0" collapsed="false">
      <c r="A126" s="2" t="n">
        <v>125</v>
      </c>
      <c r="B126" s="2" t="s">
        <v>1115</v>
      </c>
      <c r="C126" s="2" t="s">
        <v>7</v>
      </c>
      <c r="D126" s="2" t="n">
        <v>1</v>
      </c>
      <c r="E126" s="2" t="s">
        <v>1100</v>
      </c>
      <c r="F126" s="2" t="s">
        <v>1807</v>
      </c>
      <c r="G126" s="2" t="s">
        <v>1783</v>
      </c>
    </row>
    <row r="127" customFormat="false" ht="15" hidden="false" customHeight="false" outlineLevel="0" collapsed="false">
      <c r="A127" s="2" t="n">
        <v>126</v>
      </c>
      <c r="B127" s="2" t="s">
        <v>617</v>
      </c>
      <c r="C127" s="2" t="s">
        <v>7</v>
      </c>
      <c r="D127" s="2" t="n">
        <v>1</v>
      </c>
      <c r="E127" s="2" t="s">
        <v>608</v>
      </c>
      <c r="F127" s="2" t="s">
        <v>1807</v>
      </c>
      <c r="G127" s="2" t="s">
        <v>1783</v>
      </c>
    </row>
    <row r="128" customFormat="false" ht="15" hidden="false" customHeight="false" outlineLevel="0" collapsed="false">
      <c r="A128" s="2" t="n">
        <v>127</v>
      </c>
      <c r="B128" s="2" t="s">
        <v>825</v>
      </c>
      <c r="C128" s="2" t="s">
        <v>7</v>
      </c>
      <c r="D128" s="2" t="n">
        <v>1</v>
      </c>
      <c r="E128" s="2" t="s">
        <v>791</v>
      </c>
      <c r="F128" s="2" t="s">
        <v>1807</v>
      </c>
      <c r="G128" s="2" t="s">
        <v>1783</v>
      </c>
    </row>
    <row r="129" customFormat="false" ht="15" hidden="false" customHeight="false" outlineLevel="0" collapsed="false">
      <c r="A129" s="2" t="n">
        <v>128</v>
      </c>
      <c r="B129" s="2" t="s">
        <v>1048</v>
      </c>
      <c r="C129" s="2" t="s">
        <v>7</v>
      </c>
      <c r="D129" s="2" t="n">
        <v>1</v>
      </c>
      <c r="E129" s="2" t="s">
        <v>1020</v>
      </c>
      <c r="F129" s="2" t="s">
        <v>1807</v>
      </c>
      <c r="G129" s="2" t="s">
        <v>1783</v>
      </c>
    </row>
    <row r="130" customFormat="false" ht="15" hidden="false" customHeight="false" outlineLevel="0" collapsed="false">
      <c r="A130" s="2" t="n">
        <v>129</v>
      </c>
      <c r="B130" s="2" t="s">
        <v>937</v>
      </c>
      <c r="C130" s="2" t="s">
        <v>7</v>
      </c>
      <c r="D130" s="2" t="n">
        <v>1</v>
      </c>
      <c r="E130" s="2" t="s">
        <v>905</v>
      </c>
      <c r="F130" s="2" t="s">
        <v>1807</v>
      </c>
      <c r="G130" s="2" t="s">
        <v>1783</v>
      </c>
    </row>
    <row r="131" customFormat="false" ht="15" hidden="false" customHeight="false" outlineLevel="0" collapsed="false">
      <c r="A131" s="2" t="n">
        <v>130</v>
      </c>
      <c r="B131" s="2" t="s">
        <v>951</v>
      </c>
      <c r="C131" s="2" t="s">
        <v>7</v>
      </c>
      <c r="D131" s="2" t="n">
        <v>1</v>
      </c>
      <c r="E131" s="2" t="s">
        <v>905</v>
      </c>
      <c r="F131" s="2" t="s">
        <v>1807</v>
      </c>
      <c r="G131" s="2" t="s">
        <v>1783</v>
      </c>
    </row>
    <row r="132" customFormat="false" ht="15" hidden="false" customHeight="false" outlineLevel="0" collapsed="false">
      <c r="A132" s="2" t="n">
        <v>131</v>
      </c>
      <c r="B132" s="2" t="s">
        <v>405</v>
      </c>
      <c r="C132" s="2" t="s">
        <v>7</v>
      </c>
      <c r="D132" s="2" t="n">
        <v>1</v>
      </c>
      <c r="E132" s="2" t="s">
        <v>317</v>
      </c>
      <c r="F132" s="2" t="s">
        <v>1807</v>
      </c>
      <c r="G132" s="2" t="s">
        <v>1783</v>
      </c>
    </row>
    <row r="133" customFormat="false" ht="15" hidden="false" customHeight="false" outlineLevel="0" collapsed="false">
      <c r="A133" s="2" t="n">
        <v>132</v>
      </c>
      <c r="B133" s="2" t="s">
        <v>661</v>
      </c>
      <c r="C133" s="2" t="s">
        <v>7</v>
      </c>
      <c r="D133" s="2" t="n">
        <v>1</v>
      </c>
      <c r="E133" s="2" t="s">
        <v>608</v>
      </c>
      <c r="F133" s="2" t="s">
        <v>1807</v>
      </c>
      <c r="G133" s="2" t="s">
        <v>1783</v>
      </c>
    </row>
    <row r="134" customFormat="false" ht="15" hidden="false" customHeight="false" outlineLevel="0" collapsed="false">
      <c r="A134" s="2" t="n">
        <v>133</v>
      </c>
      <c r="B134" s="2" t="s">
        <v>195</v>
      </c>
      <c r="C134" s="2" t="s">
        <v>7</v>
      </c>
      <c r="D134" s="2" t="n">
        <v>1</v>
      </c>
      <c r="E134" s="2" t="s">
        <v>151</v>
      </c>
      <c r="F134" s="2" t="s">
        <v>1807</v>
      </c>
      <c r="G134" s="2" t="s">
        <v>1783</v>
      </c>
    </row>
    <row r="135" customFormat="false" ht="15" hidden="false" customHeight="false" outlineLevel="0" collapsed="false">
      <c r="A135" s="2" t="n">
        <v>134</v>
      </c>
      <c r="B135" s="2" t="s">
        <v>330</v>
      </c>
      <c r="C135" s="2" t="s">
        <v>7</v>
      </c>
      <c r="D135" s="2" t="n">
        <v>1</v>
      </c>
      <c r="E135" s="2" t="s">
        <v>317</v>
      </c>
      <c r="F135" s="2" t="s">
        <v>1807</v>
      </c>
      <c r="G135" s="2" t="s">
        <v>1783</v>
      </c>
    </row>
    <row r="136" customFormat="false" ht="15" hidden="false" customHeight="false" outlineLevel="0" collapsed="false">
      <c r="A136" s="2" t="n">
        <v>135</v>
      </c>
      <c r="B136" s="2" t="s">
        <v>931</v>
      </c>
      <c r="C136" s="2" t="s">
        <v>7</v>
      </c>
      <c r="D136" s="2" t="n">
        <v>1</v>
      </c>
      <c r="E136" s="2" t="s">
        <v>905</v>
      </c>
      <c r="F136" s="2" t="s">
        <v>1807</v>
      </c>
      <c r="G136" s="2" t="s">
        <v>1783</v>
      </c>
    </row>
    <row r="137" customFormat="false" ht="15" hidden="false" customHeight="false" outlineLevel="0" collapsed="false">
      <c r="A137" s="2" t="n">
        <v>136</v>
      </c>
      <c r="B137" s="2" t="s">
        <v>811</v>
      </c>
      <c r="C137" s="2" t="s">
        <v>7</v>
      </c>
      <c r="D137" s="2" t="n">
        <v>1</v>
      </c>
      <c r="E137" s="2" t="s">
        <v>791</v>
      </c>
      <c r="F137" s="2" t="s">
        <v>1807</v>
      </c>
      <c r="G137" s="2" t="s">
        <v>1783</v>
      </c>
    </row>
    <row r="138" customFormat="false" ht="15" hidden="false" customHeight="false" outlineLevel="0" collapsed="false">
      <c r="A138" s="2" t="n">
        <v>137</v>
      </c>
      <c r="B138" s="2" t="s">
        <v>748</v>
      </c>
      <c r="C138" s="2" t="s">
        <v>7</v>
      </c>
      <c r="D138" s="2" t="n">
        <v>1</v>
      </c>
      <c r="E138" s="2" t="s">
        <v>731</v>
      </c>
      <c r="F138" s="2" t="s">
        <v>1807</v>
      </c>
      <c r="G138" s="2" t="s">
        <v>1783</v>
      </c>
    </row>
    <row r="139" customFormat="false" ht="15" hidden="false" customHeight="false" outlineLevel="0" collapsed="false">
      <c r="A139" s="2" t="n">
        <v>138</v>
      </c>
      <c r="B139" s="2" t="s">
        <v>529</v>
      </c>
      <c r="C139" s="2" t="s">
        <v>7</v>
      </c>
      <c r="D139" s="2" t="n">
        <v>1</v>
      </c>
      <c r="E139" s="2" t="s">
        <v>514</v>
      </c>
      <c r="F139" s="2" t="s">
        <v>1807</v>
      </c>
      <c r="G139" s="2" t="s">
        <v>1783</v>
      </c>
    </row>
    <row r="140" customFormat="false" ht="15" hidden="false" customHeight="false" outlineLevel="0" collapsed="false">
      <c r="A140" s="2" t="n">
        <v>139</v>
      </c>
      <c r="B140" s="2" t="s">
        <v>815</v>
      </c>
      <c r="C140" s="2" t="s">
        <v>7</v>
      </c>
      <c r="D140" s="2" t="n">
        <v>1</v>
      </c>
      <c r="E140" s="2" t="s">
        <v>791</v>
      </c>
      <c r="F140" s="2" t="s">
        <v>1807</v>
      </c>
      <c r="G140" s="2" t="s">
        <v>1783</v>
      </c>
    </row>
    <row r="141" customFormat="false" ht="15" hidden="false" customHeight="false" outlineLevel="0" collapsed="false">
      <c r="A141" s="2" t="n">
        <v>140</v>
      </c>
      <c r="B141" s="2" t="s">
        <v>275</v>
      </c>
      <c r="C141" s="2" t="s">
        <v>7</v>
      </c>
      <c r="D141" s="2" t="n">
        <v>1</v>
      </c>
      <c r="E141" s="2" t="s">
        <v>254</v>
      </c>
      <c r="F141" s="2" t="s">
        <v>1807</v>
      </c>
      <c r="G141" s="2" t="s">
        <v>1783</v>
      </c>
    </row>
    <row r="142" customFormat="false" ht="15" hidden="false" customHeight="false" outlineLevel="0" collapsed="false">
      <c r="A142" s="2" t="n">
        <v>141</v>
      </c>
      <c r="B142" s="2" t="s">
        <v>821</v>
      </c>
      <c r="C142" s="2" t="s">
        <v>7</v>
      </c>
      <c r="D142" s="2" t="n">
        <v>1</v>
      </c>
      <c r="E142" s="2" t="s">
        <v>791</v>
      </c>
      <c r="F142" s="2" t="s">
        <v>1807</v>
      </c>
      <c r="G142" s="2" t="s">
        <v>1783</v>
      </c>
    </row>
    <row r="143" customFormat="false" ht="15" hidden="false" customHeight="false" outlineLevel="0" collapsed="false">
      <c r="A143" s="2" t="n">
        <v>142</v>
      </c>
      <c r="B143" s="2" t="s">
        <v>919</v>
      </c>
      <c r="C143" s="2" t="s">
        <v>7</v>
      </c>
      <c r="D143" s="2" t="n">
        <v>1</v>
      </c>
      <c r="E143" s="2" t="s">
        <v>905</v>
      </c>
      <c r="F143" s="2" t="s">
        <v>1807</v>
      </c>
      <c r="G143" s="2" t="s">
        <v>1783</v>
      </c>
    </row>
    <row r="144" customFormat="false" ht="15" hidden="false" customHeight="false" outlineLevel="0" collapsed="false">
      <c r="A144" s="2" t="n">
        <v>143</v>
      </c>
      <c r="B144" s="2" t="s">
        <v>44</v>
      </c>
      <c r="C144" s="2" t="s">
        <v>7</v>
      </c>
      <c r="D144" s="2" t="n">
        <v>1</v>
      </c>
      <c r="E144" s="2" t="s">
        <v>9</v>
      </c>
      <c r="F144" s="2" t="s">
        <v>1807</v>
      </c>
      <c r="G144" s="2" t="s">
        <v>1783</v>
      </c>
    </row>
    <row r="145" customFormat="false" ht="15" hidden="false" customHeight="false" outlineLevel="0" collapsed="false">
      <c r="A145" s="2" t="n">
        <v>144</v>
      </c>
      <c r="B145" s="2" t="s">
        <v>969</v>
      </c>
      <c r="C145" s="2" t="s">
        <v>7</v>
      </c>
      <c r="D145" s="2" t="n">
        <v>1</v>
      </c>
      <c r="E145" s="2" t="s">
        <v>905</v>
      </c>
      <c r="F145" s="2" t="s">
        <v>1807</v>
      </c>
      <c r="G145" s="2" t="s">
        <v>1783</v>
      </c>
    </row>
    <row r="146" customFormat="false" ht="15" hidden="false" customHeight="false" outlineLevel="0" collapsed="false">
      <c r="A146" s="2" t="n">
        <v>145</v>
      </c>
      <c r="B146" s="2" t="s">
        <v>355</v>
      </c>
      <c r="C146" s="2" t="s">
        <v>7</v>
      </c>
      <c r="D146" s="2" t="n">
        <v>1</v>
      </c>
      <c r="E146" s="2" t="s">
        <v>317</v>
      </c>
      <c r="F146" s="2" t="s">
        <v>1807</v>
      </c>
      <c r="G146" s="2" t="s">
        <v>1783</v>
      </c>
    </row>
    <row r="147" customFormat="false" ht="15" hidden="false" customHeight="false" outlineLevel="0" collapsed="false">
      <c r="A147" s="2" t="n">
        <v>146</v>
      </c>
      <c r="B147" s="2" t="s">
        <v>186</v>
      </c>
      <c r="C147" s="2" t="s">
        <v>7</v>
      </c>
      <c r="D147" s="2" t="n">
        <v>1</v>
      </c>
      <c r="E147" s="2" t="s">
        <v>151</v>
      </c>
      <c r="F147" s="2" t="s">
        <v>1807</v>
      </c>
      <c r="G147" s="2" t="s">
        <v>1783</v>
      </c>
    </row>
    <row r="148" customFormat="false" ht="15" hidden="false" customHeight="false" outlineLevel="0" collapsed="false">
      <c r="A148" s="2" t="n">
        <v>147</v>
      </c>
      <c r="B148" s="2" t="s">
        <v>1022</v>
      </c>
      <c r="C148" s="2" t="s">
        <v>7</v>
      </c>
      <c r="D148" s="2" t="n">
        <v>1</v>
      </c>
      <c r="E148" s="2" t="s">
        <v>1020</v>
      </c>
      <c r="F148" s="2" t="s">
        <v>1807</v>
      </c>
      <c r="G148" s="2" t="s">
        <v>1783</v>
      </c>
    </row>
    <row r="149" customFormat="false" ht="15" hidden="false" customHeight="false" outlineLevel="0" collapsed="false">
      <c r="A149" s="2" t="n">
        <v>148</v>
      </c>
      <c r="B149" s="2" t="s">
        <v>172</v>
      </c>
      <c r="C149" s="2" t="s">
        <v>7</v>
      </c>
      <c r="D149" s="2" t="n">
        <v>1</v>
      </c>
      <c r="E149" s="2" t="s">
        <v>151</v>
      </c>
      <c r="F149" s="2" t="s">
        <v>1807</v>
      </c>
      <c r="G149" s="2" t="s">
        <v>1783</v>
      </c>
    </row>
    <row r="150" customFormat="false" ht="15" hidden="false" customHeight="false" outlineLevel="0" collapsed="false">
      <c r="A150" s="2" t="n">
        <v>149</v>
      </c>
      <c r="B150" s="2" t="s">
        <v>337</v>
      </c>
      <c r="C150" s="2" t="s">
        <v>7</v>
      </c>
      <c r="D150" s="2" t="n">
        <v>1</v>
      </c>
      <c r="E150" s="2" t="s">
        <v>317</v>
      </c>
      <c r="F150" s="2" t="s">
        <v>1807</v>
      </c>
      <c r="G150" s="2" t="s">
        <v>1783</v>
      </c>
    </row>
    <row r="151" customFormat="false" ht="15" hidden="false" customHeight="false" outlineLevel="0" collapsed="false">
      <c r="A151" s="2" t="n">
        <v>150</v>
      </c>
      <c r="B151" s="2" t="s">
        <v>923</v>
      </c>
      <c r="C151" s="2" t="s">
        <v>7</v>
      </c>
      <c r="D151" s="2" t="n">
        <v>1</v>
      </c>
      <c r="E151" s="2" t="s">
        <v>905</v>
      </c>
      <c r="F151" s="2" t="s">
        <v>1807</v>
      </c>
      <c r="G151" s="2" t="s">
        <v>1783</v>
      </c>
    </row>
    <row r="152" customFormat="false" ht="15" hidden="false" customHeight="false" outlineLevel="0" collapsed="false">
      <c r="A152" s="2" t="n">
        <v>151</v>
      </c>
      <c r="B152" s="2" t="s">
        <v>979</v>
      </c>
      <c r="C152" s="2" t="s">
        <v>7</v>
      </c>
      <c r="D152" s="2" t="n">
        <v>1</v>
      </c>
      <c r="E152" s="2" t="s">
        <v>905</v>
      </c>
      <c r="F152" s="2" t="s">
        <v>1807</v>
      </c>
      <c r="G152" s="2" t="s">
        <v>1783</v>
      </c>
    </row>
    <row r="153" customFormat="false" ht="15" hidden="false" customHeight="false" outlineLevel="0" collapsed="false">
      <c r="A153" s="2" t="n">
        <v>152</v>
      </c>
      <c r="B153" s="2" t="s">
        <v>351</v>
      </c>
      <c r="C153" s="2" t="s">
        <v>7</v>
      </c>
      <c r="D153" s="2" t="n">
        <v>1</v>
      </c>
      <c r="E153" s="2" t="s">
        <v>317</v>
      </c>
      <c r="F153" s="2" t="s">
        <v>1807</v>
      </c>
      <c r="G153" s="2" t="s">
        <v>1783</v>
      </c>
    </row>
    <row r="154" customFormat="false" ht="15" hidden="false" customHeight="false" outlineLevel="0" collapsed="false">
      <c r="A154" s="2" t="n">
        <v>153</v>
      </c>
      <c r="B154" s="2" t="s">
        <v>1058</v>
      </c>
      <c r="C154" s="2" t="s">
        <v>7</v>
      </c>
      <c r="D154" s="2" t="n">
        <v>1</v>
      </c>
      <c r="E154" s="2" t="s">
        <v>1020</v>
      </c>
      <c r="F154" s="2" t="s">
        <v>1807</v>
      </c>
      <c r="G154" s="2" t="s">
        <v>1783</v>
      </c>
    </row>
    <row r="155" customFormat="false" ht="15" hidden="false" customHeight="false" outlineLevel="0" collapsed="false">
      <c r="A155" s="2" t="n">
        <v>154</v>
      </c>
      <c r="B155" s="2" t="s">
        <v>407</v>
      </c>
      <c r="C155" s="2" t="s">
        <v>7</v>
      </c>
      <c r="D155" s="2" t="n">
        <v>1</v>
      </c>
      <c r="E155" s="2" t="s">
        <v>317</v>
      </c>
      <c r="F155" s="2" t="s">
        <v>1807</v>
      </c>
      <c r="G155" s="2" t="s">
        <v>1783</v>
      </c>
    </row>
    <row r="156" customFormat="false" ht="15" hidden="false" customHeight="false" outlineLevel="0" collapsed="false">
      <c r="A156" s="2" t="n">
        <v>155</v>
      </c>
      <c r="B156" s="2" t="s">
        <v>657</v>
      </c>
      <c r="C156" s="2" t="s">
        <v>7</v>
      </c>
      <c r="D156" s="2" t="n">
        <v>1</v>
      </c>
      <c r="E156" s="2" t="s">
        <v>608</v>
      </c>
      <c r="F156" s="2" t="s">
        <v>1807</v>
      </c>
      <c r="G156" s="2" t="s">
        <v>1783</v>
      </c>
    </row>
    <row r="157" customFormat="false" ht="15" hidden="false" customHeight="false" outlineLevel="0" collapsed="false">
      <c r="A157" s="2" t="n">
        <v>156</v>
      </c>
      <c r="B157" s="2" t="s">
        <v>957</v>
      </c>
      <c r="C157" s="2" t="s">
        <v>7</v>
      </c>
      <c r="D157" s="2" t="n">
        <v>1</v>
      </c>
      <c r="E157" s="2" t="s">
        <v>905</v>
      </c>
      <c r="F157" s="2" t="s">
        <v>1807</v>
      </c>
      <c r="G157" s="2" t="s">
        <v>1783</v>
      </c>
    </row>
    <row r="158" customFormat="false" ht="15" hidden="false" customHeight="false" outlineLevel="0" collapsed="false">
      <c r="A158" s="2" t="n">
        <v>157</v>
      </c>
      <c r="B158" s="2" t="s">
        <v>944</v>
      </c>
      <c r="C158" s="2" t="s">
        <v>7</v>
      </c>
      <c r="D158" s="2" t="n">
        <v>1</v>
      </c>
      <c r="E158" s="2" t="s">
        <v>905</v>
      </c>
      <c r="F158" s="2" t="s">
        <v>1807</v>
      </c>
      <c r="G158" s="2" t="s">
        <v>1783</v>
      </c>
    </row>
    <row r="159" customFormat="false" ht="15" hidden="false" customHeight="false" outlineLevel="0" collapsed="false">
      <c r="A159" s="2" t="n">
        <v>158</v>
      </c>
      <c r="B159" s="2" t="s">
        <v>977</v>
      </c>
      <c r="C159" s="2" t="s">
        <v>7</v>
      </c>
      <c r="D159" s="2" t="n">
        <v>1</v>
      </c>
      <c r="E159" s="2" t="s">
        <v>905</v>
      </c>
      <c r="F159" s="2" t="s">
        <v>1807</v>
      </c>
      <c r="G159" s="2" t="s">
        <v>1783</v>
      </c>
    </row>
    <row r="160" customFormat="false" ht="15" hidden="false" customHeight="false" outlineLevel="0" collapsed="false">
      <c r="A160" s="2" t="n">
        <v>159</v>
      </c>
      <c r="B160" s="2" t="s">
        <v>46</v>
      </c>
      <c r="C160" s="2" t="s">
        <v>7</v>
      </c>
      <c r="D160" s="2" t="n">
        <v>1</v>
      </c>
      <c r="E160" s="2" t="s">
        <v>9</v>
      </c>
      <c r="F160" s="2" t="s">
        <v>1807</v>
      </c>
      <c r="G160" s="2" t="s">
        <v>1783</v>
      </c>
    </row>
    <row r="161" customFormat="false" ht="15" hidden="false" customHeight="false" outlineLevel="0" collapsed="false">
      <c r="A161" s="2" t="n">
        <v>160</v>
      </c>
      <c r="B161" s="2" t="s">
        <v>65</v>
      </c>
      <c r="C161" s="2" t="s">
        <v>7</v>
      </c>
      <c r="D161" s="2" t="n">
        <v>1</v>
      </c>
      <c r="E161" s="2" t="s">
        <v>9</v>
      </c>
      <c r="F161" s="2" t="s">
        <v>1807</v>
      </c>
      <c r="G161" s="2" t="s">
        <v>1783</v>
      </c>
    </row>
    <row r="162" customFormat="false" ht="15" hidden="false" customHeight="false" outlineLevel="0" collapsed="false">
      <c r="A162" s="2" t="n">
        <v>161</v>
      </c>
      <c r="B162" s="2" t="s">
        <v>178</v>
      </c>
      <c r="C162" s="2" t="s">
        <v>7</v>
      </c>
      <c r="D162" s="2" t="n">
        <v>1</v>
      </c>
      <c r="E162" s="2" t="s">
        <v>151</v>
      </c>
      <c r="F162" s="2" t="s">
        <v>1807</v>
      </c>
      <c r="G162" s="2" t="s">
        <v>1783</v>
      </c>
    </row>
    <row r="163" customFormat="false" ht="15" hidden="false" customHeight="false" outlineLevel="0" collapsed="false">
      <c r="A163" s="2" t="n">
        <v>162</v>
      </c>
      <c r="B163" s="2" t="s">
        <v>981</v>
      </c>
      <c r="C163" s="2" t="s">
        <v>7</v>
      </c>
      <c r="D163" s="2" t="n">
        <v>1</v>
      </c>
      <c r="E163" s="2" t="s">
        <v>905</v>
      </c>
      <c r="F163" s="2" t="s">
        <v>1807</v>
      </c>
      <c r="G163" s="2" t="s">
        <v>1783</v>
      </c>
    </row>
    <row r="164" customFormat="false" ht="15" hidden="false" customHeight="false" outlineLevel="0" collapsed="false">
      <c r="A164" s="2" t="n">
        <v>163</v>
      </c>
      <c r="B164" s="2" t="s">
        <v>1054</v>
      </c>
      <c r="C164" s="2" t="s">
        <v>7</v>
      </c>
      <c r="D164" s="2" t="n">
        <v>1</v>
      </c>
      <c r="E164" s="2" t="s">
        <v>1020</v>
      </c>
      <c r="F164" s="2" t="s">
        <v>1807</v>
      </c>
      <c r="G164" s="2" t="s">
        <v>1783</v>
      </c>
    </row>
    <row r="165" customFormat="false" ht="15" hidden="false" customHeight="false" outlineLevel="0" collapsed="false">
      <c r="A165" s="2" t="n">
        <v>164</v>
      </c>
      <c r="B165" s="2" t="s">
        <v>360</v>
      </c>
      <c r="C165" s="2" t="s">
        <v>7</v>
      </c>
      <c r="D165" s="2" t="n">
        <v>1</v>
      </c>
      <c r="E165" s="2" t="s">
        <v>317</v>
      </c>
      <c r="F165" s="2" t="s">
        <v>1807</v>
      </c>
      <c r="G165" s="2" t="s">
        <v>1783</v>
      </c>
    </row>
    <row r="166" customFormat="false" ht="15" hidden="false" customHeight="false" outlineLevel="0" collapsed="false">
      <c r="A166" s="2" t="n">
        <v>165</v>
      </c>
      <c r="B166" s="2" t="s">
        <v>1126</v>
      </c>
      <c r="C166" s="2" t="s">
        <v>7</v>
      </c>
      <c r="D166" s="2" t="n">
        <v>1</v>
      </c>
      <c r="E166" s="2" t="s">
        <v>1100</v>
      </c>
      <c r="F166" s="2" t="s">
        <v>1807</v>
      </c>
      <c r="G166" s="2" t="s">
        <v>1783</v>
      </c>
    </row>
    <row r="167" customFormat="false" ht="15" hidden="false" customHeight="false" outlineLevel="0" collapsed="false">
      <c r="A167" s="2" t="n">
        <v>166</v>
      </c>
      <c r="B167" s="2" t="s">
        <v>1124</v>
      </c>
      <c r="C167" s="2" t="s">
        <v>7</v>
      </c>
      <c r="D167" s="2" t="n">
        <v>1</v>
      </c>
      <c r="E167" s="2" t="s">
        <v>1100</v>
      </c>
      <c r="F167" s="2" t="s">
        <v>1807</v>
      </c>
      <c r="G167" s="2" t="s">
        <v>1783</v>
      </c>
    </row>
    <row r="168" customFormat="false" ht="15" hidden="false" customHeight="false" outlineLevel="0" collapsed="false">
      <c r="A168" s="2" t="n">
        <v>167</v>
      </c>
      <c r="B168" s="2" t="s">
        <v>829</v>
      </c>
      <c r="C168" s="2" t="s">
        <v>7</v>
      </c>
      <c r="D168" s="2" t="n">
        <v>1</v>
      </c>
      <c r="E168" s="2" t="s">
        <v>791</v>
      </c>
      <c r="F168" s="2" t="s">
        <v>1807</v>
      </c>
      <c r="G168" s="2" t="s">
        <v>1783</v>
      </c>
    </row>
    <row r="169" customFormat="false" ht="15" hidden="false" customHeight="false" outlineLevel="0" collapsed="false">
      <c r="A169" s="2" t="n">
        <v>168</v>
      </c>
      <c r="B169" s="2" t="s">
        <v>384</v>
      </c>
      <c r="C169" s="2" t="s">
        <v>7</v>
      </c>
      <c r="D169" s="2" t="n">
        <v>1</v>
      </c>
      <c r="E169" s="2" t="s">
        <v>317</v>
      </c>
      <c r="F169" s="2" t="s">
        <v>1807</v>
      </c>
      <c r="G169" s="2" t="s">
        <v>1783</v>
      </c>
    </row>
    <row r="170" customFormat="false" ht="15" hidden="false" customHeight="false" outlineLevel="0" collapsed="false">
      <c r="A170" s="2" t="n">
        <v>169</v>
      </c>
      <c r="B170" s="2" t="s">
        <v>962</v>
      </c>
      <c r="C170" s="2" t="s">
        <v>7</v>
      </c>
      <c r="D170" s="2" t="n">
        <v>1</v>
      </c>
      <c r="E170" s="2" t="s">
        <v>905</v>
      </c>
      <c r="F170" s="2" t="s">
        <v>1807</v>
      </c>
      <c r="G170" s="2" t="s">
        <v>1783</v>
      </c>
    </row>
    <row r="171" customFormat="false" ht="15" hidden="false" customHeight="false" outlineLevel="0" collapsed="false">
      <c r="A171" s="2" t="n">
        <v>170</v>
      </c>
      <c r="B171" s="2" t="s">
        <v>914</v>
      </c>
      <c r="C171" s="2" t="s">
        <v>7</v>
      </c>
      <c r="D171" s="2" t="n">
        <v>1</v>
      </c>
      <c r="E171" s="2" t="s">
        <v>905</v>
      </c>
      <c r="F171" s="2" t="s">
        <v>1807</v>
      </c>
      <c r="G171" s="2" t="s">
        <v>1783</v>
      </c>
    </row>
    <row r="172" customFormat="false" ht="15" hidden="false" customHeight="false" outlineLevel="0" collapsed="false">
      <c r="A172" s="2" t="n">
        <v>171</v>
      </c>
      <c r="B172" s="2" t="s">
        <v>377</v>
      </c>
      <c r="C172" s="2" t="s">
        <v>7</v>
      </c>
      <c r="D172" s="2" t="n">
        <v>1</v>
      </c>
      <c r="E172" s="2" t="s">
        <v>317</v>
      </c>
      <c r="F172" s="2" t="s">
        <v>1807</v>
      </c>
      <c r="G172" s="2" t="s">
        <v>1783</v>
      </c>
    </row>
    <row r="173" customFormat="false" ht="15" hidden="false" customHeight="false" outlineLevel="0" collapsed="false">
      <c r="A173" s="2" t="n">
        <v>172</v>
      </c>
      <c r="B173" s="2" t="s">
        <v>394</v>
      </c>
      <c r="C173" s="2" t="s">
        <v>7</v>
      </c>
      <c r="D173" s="2" t="n">
        <v>1</v>
      </c>
      <c r="E173" s="2" t="s">
        <v>317</v>
      </c>
      <c r="F173" s="2" t="s">
        <v>1807</v>
      </c>
      <c r="G173" s="2" t="s">
        <v>1783</v>
      </c>
    </row>
    <row r="174" customFormat="false" ht="15" hidden="false" customHeight="false" outlineLevel="0" collapsed="false">
      <c r="A174" s="2" t="n">
        <v>173</v>
      </c>
      <c r="B174" s="2" t="s">
        <v>381</v>
      </c>
      <c r="C174" s="2" t="s">
        <v>7</v>
      </c>
      <c r="D174" s="2" t="n">
        <v>1</v>
      </c>
      <c r="E174" s="2" t="s">
        <v>317</v>
      </c>
      <c r="F174" s="2" t="s">
        <v>1807</v>
      </c>
      <c r="G174" s="2" t="s">
        <v>1783</v>
      </c>
    </row>
    <row r="175" customFormat="false" ht="15" hidden="false" customHeight="false" outlineLevel="0" collapsed="false">
      <c r="A175" s="2" t="n">
        <v>174</v>
      </c>
      <c r="B175" s="2" t="s">
        <v>177</v>
      </c>
      <c r="C175" s="2" t="s">
        <v>7</v>
      </c>
      <c r="D175" s="2" t="n">
        <v>1</v>
      </c>
      <c r="E175" s="2" t="s">
        <v>151</v>
      </c>
      <c r="F175" s="2" t="s">
        <v>1807</v>
      </c>
      <c r="G175" s="2" t="s">
        <v>1783</v>
      </c>
    </row>
    <row r="176" customFormat="false" ht="15" hidden="false" customHeight="false" outlineLevel="0" collapsed="false">
      <c r="A176" s="2" t="n">
        <v>175</v>
      </c>
      <c r="B176" s="2" t="s">
        <v>967</v>
      </c>
      <c r="C176" s="2" t="s">
        <v>7</v>
      </c>
      <c r="D176" s="2" t="n">
        <v>1</v>
      </c>
      <c r="E176" s="2" t="s">
        <v>905</v>
      </c>
      <c r="F176" s="2" t="s">
        <v>1807</v>
      </c>
      <c r="G176" s="2" t="s">
        <v>1783</v>
      </c>
    </row>
    <row r="177" customFormat="false" ht="15" hidden="false" customHeight="false" outlineLevel="0" collapsed="false">
      <c r="A177" s="2" t="n">
        <v>176</v>
      </c>
      <c r="B177" s="2" t="s">
        <v>971</v>
      </c>
      <c r="C177" s="2" t="s">
        <v>7</v>
      </c>
      <c r="D177" s="2" t="n">
        <v>1</v>
      </c>
      <c r="E177" s="2" t="s">
        <v>905</v>
      </c>
      <c r="F177" s="2" t="s">
        <v>1807</v>
      </c>
      <c r="G177" s="2" t="s">
        <v>1783</v>
      </c>
    </row>
    <row r="178" customFormat="false" ht="15" hidden="false" customHeight="false" outlineLevel="0" collapsed="false">
      <c r="A178" s="2" t="n">
        <v>177</v>
      </c>
      <c r="B178" s="2" t="s">
        <v>985</v>
      </c>
      <c r="C178" s="2" t="s">
        <v>7</v>
      </c>
      <c r="D178" s="2" t="n">
        <v>1</v>
      </c>
      <c r="E178" s="2" t="s">
        <v>905</v>
      </c>
      <c r="F178" s="2" t="s">
        <v>1807</v>
      </c>
      <c r="G178" s="2" t="s">
        <v>1783</v>
      </c>
    </row>
    <row r="179" customFormat="false" ht="15" hidden="false" customHeight="false" outlineLevel="0" collapsed="false">
      <c r="A179" s="2" t="n">
        <v>178</v>
      </c>
      <c r="B179" s="2" t="s">
        <v>1052</v>
      </c>
      <c r="C179" s="2" t="s">
        <v>7</v>
      </c>
      <c r="D179" s="2" t="n">
        <v>1</v>
      </c>
      <c r="E179" s="2" t="s">
        <v>1020</v>
      </c>
      <c r="F179" s="2" t="s">
        <v>1807</v>
      </c>
      <c r="G179" s="2" t="s">
        <v>1783</v>
      </c>
    </row>
    <row r="180" customFormat="false" ht="15" hidden="false" customHeight="false" outlineLevel="0" collapsed="false">
      <c r="A180" s="2" t="n">
        <v>179</v>
      </c>
      <c r="B180" s="2" t="s">
        <v>823</v>
      </c>
      <c r="C180" s="2" t="s">
        <v>7</v>
      </c>
      <c r="D180" s="2" t="n">
        <v>1</v>
      </c>
      <c r="E180" s="2" t="s">
        <v>791</v>
      </c>
      <c r="F180" s="2" t="s">
        <v>1807</v>
      </c>
      <c r="G180" s="2" t="s">
        <v>1783</v>
      </c>
    </row>
    <row r="181" customFormat="false" ht="15" hidden="false" customHeight="false" outlineLevel="0" collapsed="false">
      <c r="A181" s="2" t="n">
        <v>180</v>
      </c>
      <c r="B181" s="2" t="s">
        <v>183</v>
      </c>
      <c r="C181" s="2" t="s">
        <v>7</v>
      </c>
      <c r="D181" s="2" t="n">
        <v>1</v>
      </c>
      <c r="E181" s="2" t="s">
        <v>151</v>
      </c>
      <c r="F181" s="2" t="s">
        <v>1807</v>
      </c>
      <c r="G181" s="2" t="s">
        <v>1783</v>
      </c>
    </row>
    <row r="182" customFormat="false" ht="15" hidden="false" customHeight="false" outlineLevel="0" collapsed="false">
      <c r="A182" s="2" t="n">
        <v>181</v>
      </c>
      <c r="B182" s="2" t="s">
        <v>960</v>
      </c>
      <c r="C182" s="2" t="s">
        <v>7</v>
      </c>
      <c r="D182" s="2" t="n">
        <v>1</v>
      </c>
      <c r="E182" s="2" t="s">
        <v>905</v>
      </c>
      <c r="F182" s="2" t="s">
        <v>1807</v>
      </c>
      <c r="G182" s="2" t="s">
        <v>1783</v>
      </c>
    </row>
    <row r="183" customFormat="false" ht="15" hidden="false" customHeight="false" outlineLevel="0" collapsed="false">
      <c r="A183" s="2" t="n">
        <v>182</v>
      </c>
      <c r="B183" s="2" t="s">
        <v>380</v>
      </c>
      <c r="C183" s="2" t="s">
        <v>7</v>
      </c>
      <c r="D183" s="2" t="n">
        <v>1</v>
      </c>
      <c r="E183" s="2" t="s">
        <v>317</v>
      </c>
      <c r="F183" s="2" t="s">
        <v>1807</v>
      </c>
      <c r="G183" s="2" t="s">
        <v>1783</v>
      </c>
    </row>
    <row r="184" customFormat="false" ht="15" hidden="false" customHeight="false" outlineLevel="0" collapsed="false">
      <c r="A184" s="2" t="n">
        <v>183</v>
      </c>
      <c r="B184" s="2" t="s">
        <v>810</v>
      </c>
      <c r="C184" s="2" t="s">
        <v>7</v>
      </c>
      <c r="D184" s="2" t="n">
        <v>1</v>
      </c>
      <c r="E184" s="2" t="s">
        <v>791</v>
      </c>
      <c r="F184" s="2" t="s">
        <v>1807</v>
      </c>
      <c r="G184" s="2" t="s">
        <v>1783</v>
      </c>
    </row>
    <row r="185" customFormat="false" ht="15" hidden="false" customHeight="false" outlineLevel="0" collapsed="false">
      <c r="A185" s="2" t="n">
        <v>184</v>
      </c>
      <c r="B185" s="2" t="s">
        <v>1036</v>
      </c>
      <c r="C185" s="2" t="s">
        <v>7</v>
      </c>
      <c r="D185" s="2" t="n">
        <v>1</v>
      </c>
      <c r="E185" s="2" t="s">
        <v>1020</v>
      </c>
      <c r="F185" s="2" t="s">
        <v>1807</v>
      </c>
      <c r="G185" s="2" t="s">
        <v>1783</v>
      </c>
    </row>
    <row r="186" customFormat="false" ht="15" hidden="false" customHeight="false" outlineLevel="0" collapsed="false">
      <c r="A186" s="2" t="n">
        <v>185</v>
      </c>
      <c r="B186" s="2" t="s">
        <v>647</v>
      </c>
      <c r="C186" s="2" t="s">
        <v>7</v>
      </c>
      <c r="D186" s="2" t="n">
        <v>1</v>
      </c>
      <c r="E186" s="2" t="s">
        <v>608</v>
      </c>
      <c r="F186" s="2" t="s">
        <v>1807</v>
      </c>
      <c r="G186" s="2" t="s">
        <v>1783</v>
      </c>
    </row>
    <row r="187" customFormat="false" ht="15" hidden="false" customHeight="false" outlineLevel="0" collapsed="false">
      <c r="A187" s="2" t="n">
        <v>186</v>
      </c>
      <c r="B187" s="2" t="s">
        <v>652</v>
      </c>
      <c r="C187" s="2" t="s">
        <v>7</v>
      </c>
      <c r="D187" s="2" t="n">
        <v>1</v>
      </c>
      <c r="E187" s="2" t="s">
        <v>608</v>
      </c>
      <c r="F187" s="2" t="s">
        <v>1807</v>
      </c>
      <c r="G187" s="2" t="s">
        <v>1783</v>
      </c>
    </row>
    <row r="188" customFormat="false" ht="15" hidden="false" customHeight="false" outlineLevel="0" collapsed="false">
      <c r="A188" s="2" t="n">
        <v>187</v>
      </c>
      <c r="B188" s="2" t="s">
        <v>954</v>
      </c>
      <c r="C188" s="2" t="s">
        <v>7</v>
      </c>
      <c r="D188" s="2" t="n">
        <v>1</v>
      </c>
      <c r="E188" s="2" t="s">
        <v>905</v>
      </c>
      <c r="F188" s="2" t="s">
        <v>1807</v>
      </c>
      <c r="G188" s="2" t="s">
        <v>1783</v>
      </c>
    </row>
    <row r="189" customFormat="false" ht="15" hidden="false" customHeight="false" outlineLevel="0" collapsed="false">
      <c r="A189" s="2" t="n">
        <v>188</v>
      </c>
      <c r="B189" s="2" t="s">
        <v>936</v>
      </c>
      <c r="C189" s="2" t="s">
        <v>7</v>
      </c>
      <c r="D189" s="2" t="n">
        <v>1</v>
      </c>
      <c r="E189" s="2" t="s">
        <v>905</v>
      </c>
      <c r="F189" s="2" t="s">
        <v>1807</v>
      </c>
      <c r="G189" s="2" t="s">
        <v>1783</v>
      </c>
    </row>
    <row r="190" customFormat="false" ht="15" hidden="false" customHeight="false" outlineLevel="0" collapsed="false">
      <c r="A190" s="2" t="n">
        <v>189</v>
      </c>
      <c r="B190" s="2" t="s">
        <v>180</v>
      </c>
      <c r="C190" s="2" t="s">
        <v>7</v>
      </c>
      <c r="D190" s="2" t="n">
        <v>1</v>
      </c>
      <c r="E190" s="2" t="s">
        <v>151</v>
      </c>
      <c r="F190" s="2" t="s">
        <v>1807</v>
      </c>
      <c r="G190" s="2" t="s">
        <v>1783</v>
      </c>
    </row>
    <row r="191" customFormat="false" ht="15" hidden="false" customHeight="false" outlineLevel="0" collapsed="false">
      <c r="A191" s="2" t="n">
        <v>190</v>
      </c>
      <c r="B191" s="2" t="s">
        <v>920</v>
      </c>
      <c r="C191" s="2" t="s">
        <v>7</v>
      </c>
      <c r="D191" s="2" t="n">
        <v>1</v>
      </c>
      <c r="E191" s="2" t="s">
        <v>905</v>
      </c>
      <c r="F191" s="2" t="s">
        <v>1807</v>
      </c>
      <c r="G191" s="2" t="s">
        <v>1783</v>
      </c>
    </row>
    <row r="192" customFormat="false" ht="15" hidden="false" customHeight="false" outlineLevel="0" collapsed="false">
      <c r="A192" s="2" t="n">
        <v>191</v>
      </c>
      <c r="B192" s="2" t="s">
        <v>401</v>
      </c>
      <c r="C192" s="2" t="s">
        <v>7</v>
      </c>
      <c r="D192" s="2" t="n">
        <v>1</v>
      </c>
      <c r="E192" s="2" t="s">
        <v>317</v>
      </c>
      <c r="F192" s="2" t="s">
        <v>1807</v>
      </c>
      <c r="G192" s="2" t="s">
        <v>1783</v>
      </c>
    </row>
    <row r="193" customFormat="false" ht="15" hidden="false" customHeight="false" outlineLevel="0" collapsed="false">
      <c r="A193" s="2" t="n">
        <v>192</v>
      </c>
      <c r="B193" s="2" t="s">
        <v>927</v>
      </c>
      <c r="C193" s="2" t="s">
        <v>7</v>
      </c>
      <c r="D193" s="2" t="n">
        <v>1</v>
      </c>
      <c r="E193" s="2" t="s">
        <v>905</v>
      </c>
      <c r="F193" s="2" t="s">
        <v>1807</v>
      </c>
      <c r="G193" s="2" t="s">
        <v>1783</v>
      </c>
    </row>
    <row r="194" customFormat="false" ht="15" hidden="false" customHeight="false" outlineLevel="0" collapsed="false">
      <c r="A194" s="2" t="n">
        <v>193</v>
      </c>
      <c r="B194" s="2" t="s">
        <v>965</v>
      </c>
      <c r="C194" s="2" t="s">
        <v>7</v>
      </c>
      <c r="D194" s="2" t="n">
        <v>1</v>
      </c>
      <c r="E194" s="2" t="s">
        <v>905</v>
      </c>
      <c r="F194" s="2" t="s">
        <v>1807</v>
      </c>
      <c r="G194" s="2" t="s">
        <v>1783</v>
      </c>
    </row>
    <row r="195" customFormat="false" ht="15" hidden="false" customHeight="false" outlineLevel="0" collapsed="false">
      <c r="A195" s="2" t="n">
        <v>194</v>
      </c>
      <c r="B195" s="2" t="s">
        <v>1038</v>
      </c>
      <c r="C195" s="2" t="s">
        <v>7</v>
      </c>
      <c r="D195" s="2" t="n">
        <v>1</v>
      </c>
      <c r="E195" s="2" t="s">
        <v>1020</v>
      </c>
      <c r="F195" s="2" t="s">
        <v>1807</v>
      </c>
      <c r="G195" s="2" t="s">
        <v>1783</v>
      </c>
    </row>
    <row r="196" customFormat="false" ht="15" hidden="false" customHeight="false" outlineLevel="0" collapsed="false">
      <c r="A196" s="2" t="n">
        <v>195</v>
      </c>
      <c r="B196" s="2" t="s">
        <v>82</v>
      </c>
      <c r="C196" s="2" t="s">
        <v>68</v>
      </c>
      <c r="D196" s="2" t="n">
        <v>12</v>
      </c>
      <c r="E196" s="2" t="s">
        <v>1754</v>
      </c>
      <c r="F196" s="2" t="s">
        <v>1755</v>
      </c>
      <c r="G196" s="2" t="s">
        <v>1756</v>
      </c>
    </row>
    <row r="197" customFormat="false" ht="15" hidden="false" customHeight="false" outlineLevel="0" collapsed="false">
      <c r="A197" s="2" t="n">
        <v>196</v>
      </c>
      <c r="B197" s="2" t="s">
        <v>85</v>
      </c>
      <c r="C197" s="2" t="s">
        <v>68</v>
      </c>
      <c r="D197" s="2" t="n">
        <v>12</v>
      </c>
      <c r="E197" s="2" t="s">
        <v>1754</v>
      </c>
      <c r="F197" s="2" t="s">
        <v>1755</v>
      </c>
      <c r="G197" s="2" t="s">
        <v>1756</v>
      </c>
    </row>
    <row r="198" customFormat="false" ht="15" hidden="false" customHeight="false" outlineLevel="0" collapsed="false">
      <c r="A198" s="2" t="n">
        <v>197</v>
      </c>
      <c r="B198" s="2" t="s">
        <v>133</v>
      </c>
      <c r="C198" s="2" t="s">
        <v>68</v>
      </c>
      <c r="D198" s="2" t="n">
        <v>11</v>
      </c>
      <c r="E198" s="2" t="s">
        <v>1808</v>
      </c>
      <c r="F198" s="2" t="s">
        <v>1758</v>
      </c>
      <c r="G198" s="2" t="s">
        <v>1756</v>
      </c>
    </row>
    <row r="199" customFormat="false" ht="15" hidden="false" customHeight="false" outlineLevel="0" collapsed="false">
      <c r="A199" s="2" t="n">
        <v>198</v>
      </c>
      <c r="B199" s="2" t="s">
        <v>100</v>
      </c>
      <c r="C199" s="2" t="s">
        <v>68</v>
      </c>
      <c r="D199" s="2" t="n">
        <v>11</v>
      </c>
      <c r="E199" s="2" t="s">
        <v>1809</v>
      </c>
      <c r="F199" s="2" t="s">
        <v>1758</v>
      </c>
      <c r="G199" s="2" t="s">
        <v>1756</v>
      </c>
    </row>
    <row r="200" customFormat="false" ht="15" hidden="false" customHeight="false" outlineLevel="0" collapsed="false">
      <c r="A200" s="2" t="n">
        <v>199</v>
      </c>
      <c r="B200" s="2" t="s">
        <v>90</v>
      </c>
      <c r="C200" s="2" t="s">
        <v>68</v>
      </c>
      <c r="D200" s="2" t="n">
        <v>10</v>
      </c>
      <c r="E200" s="2" t="s">
        <v>1810</v>
      </c>
      <c r="F200" s="2" t="s">
        <v>1811</v>
      </c>
      <c r="G200" s="2" t="s">
        <v>1761</v>
      </c>
    </row>
    <row r="201" customFormat="false" ht="15" hidden="false" customHeight="false" outlineLevel="0" collapsed="false">
      <c r="A201" s="2" t="n">
        <v>200</v>
      </c>
      <c r="B201" s="2" t="s">
        <v>116</v>
      </c>
      <c r="C201" s="2" t="s">
        <v>68</v>
      </c>
      <c r="D201" s="2" t="n">
        <v>10</v>
      </c>
      <c r="E201" s="2" t="s">
        <v>1812</v>
      </c>
      <c r="F201" s="2" t="s">
        <v>1811</v>
      </c>
      <c r="G201" s="2" t="s">
        <v>1761</v>
      </c>
    </row>
    <row r="202" customFormat="false" ht="15" hidden="false" customHeight="false" outlineLevel="0" collapsed="false">
      <c r="A202" s="2" t="n">
        <v>201</v>
      </c>
      <c r="B202" s="2" t="s">
        <v>141</v>
      </c>
      <c r="C202" s="2" t="s">
        <v>68</v>
      </c>
      <c r="D202" s="2" t="n">
        <v>10</v>
      </c>
      <c r="E202" s="2" t="s">
        <v>1813</v>
      </c>
      <c r="F202" s="2" t="s">
        <v>1811</v>
      </c>
      <c r="G202" s="2" t="s">
        <v>1761</v>
      </c>
    </row>
    <row r="203" customFormat="false" ht="15" hidden="false" customHeight="false" outlineLevel="0" collapsed="false">
      <c r="A203" s="2" t="n">
        <v>202</v>
      </c>
      <c r="B203" s="2" t="s">
        <v>208</v>
      </c>
      <c r="C203" s="2" t="s">
        <v>68</v>
      </c>
      <c r="D203" s="2" t="n">
        <v>9</v>
      </c>
      <c r="E203" s="2" t="s">
        <v>1814</v>
      </c>
      <c r="F203" s="2" t="s">
        <v>1760</v>
      </c>
      <c r="G203" s="2" t="s">
        <v>1761</v>
      </c>
    </row>
    <row r="204" customFormat="false" ht="15" hidden="false" customHeight="false" outlineLevel="0" collapsed="false">
      <c r="A204" s="2" t="n">
        <v>203</v>
      </c>
      <c r="B204" s="2" t="s">
        <v>86</v>
      </c>
      <c r="C204" s="2" t="s">
        <v>68</v>
      </c>
      <c r="D204" s="2" t="n">
        <v>8</v>
      </c>
      <c r="E204" s="2" t="s">
        <v>1815</v>
      </c>
      <c r="F204" s="2" t="s">
        <v>1764</v>
      </c>
      <c r="G204" s="2" t="s">
        <v>1761</v>
      </c>
    </row>
    <row r="205" customFormat="false" ht="15" hidden="false" customHeight="false" outlineLevel="0" collapsed="false">
      <c r="A205" s="2" t="n">
        <v>204</v>
      </c>
      <c r="B205" s="2" t="s">
        <v>238</v>
      </c>
      <c r="C205" s="2" t="s">
        <v>68</v>
      </c>
      <c r="D205" s="2" t="n">
        <v>7</v>
      </c>
      <c r="E205" s="2" t="s">
        <v>1816</v>
      </c>
      <c r="F205" s="2" t="s">
        <v>1767</v>
      </c>
      <c r="G205" s="2" t="s">
        <v>1761</v>
      </c>
    </row>
    <row r="206" customFormat="false" ht="15" hidden="false" customHeight="false" outlineLevel="0" collapsed="false">
      <c r="A206" s="2" t="n">
        <v>205</v>
      </c>
      <c r="B206" s="2" t="s">
        <v>107</v>
      </c>
      <c r="C206" s="2" t="s">
        <v>68</v>
      </c>
      <c r="D206" s="2" t="n">
        <v>7</v>
      </c>
      <c r="E206" s="2" t="s">
        <v>1817</v>
      </c>
      <c r="F206" s="2" t="s">
        <v>1767</v>
      </c>
      <c r="G206" s="2" t="s">
        <v>1761</v>
      </c>
    </row>
    <row r="207" customFormat="false" ht="15" hidden="false" customHeight="false" outlineLevel="0" collapsed="false">
      <c r="A207" s="2" t="n">
        <v>206</v>
      </c>
      <c r="B207" s="2" t="s">
        <v>305</v>
      </c>
      <c r="C207" s="2" t="s">
        <v>68</v>
      </c>
      <c r="D207" s="2" t="n">
        <v>7</v>
      </c>
      <c r="E207" s="2" t="s">
        <v>1818</v>
      </c>
      <c r="F207" s="2" t="s">
        <v>1767</v>
      </c>
      <c r="G207" s="2" t="s">
        <v>1761</v>
      </c>
    </row>
    <row r="208" customFormat="false" ht="15" hidden="false" customHeight="false" outlineLevel="0" collapsed="false">
      <c r="A208" s="2" t="n">
        <v>207</v>
      </c>
      <c r="B208" s="2" t="s">
        <v>127</v>
      </c>
      <c r="C208" s="2" t="s">
        <v>68</v>
      </c>
      <c r="D208" s="2" t="n">
        <v>7</v>
      </c>
      <c r="E208" s="2" t="s">
        <v>1819</v>
      </c>
      <c r="F208" s="2" t="s">
        <v>1767</v>
      </c>
      <c r="G208" s="2" t="s">
        <v>1761</v>
      </c>
    </row>
    <row r="209" customFormat="false" ht="15" hidden="false" customHeight="false" outlineLevel="0" collapsed="false">
      <c r="A209" s="2" t="n">
        <v>208</v>
      </c>
      <c r="B209" s="2" t="s">
        <v>242</v>
      </c>
      <c r="C209" s="2" t="s">
        <v>68</v>
      </c>
      <c r="D209" s="2" t="n">
        <v>6</v>
      </c>
      <c r="E209" s="2" t="s">
        <v>1820</v>
      </c>
      <c r="F209" s="2" t="s">
        <v>1770</v>
      </c>
      <c r="G209" s="2" t="s">
        <v>1771</v>
      </c>
    </row>
    <row r="210" customFormat="false" ht="15" hidden="false" customHeight="false" outlineLevel="0" collapsed="false">
      <c r="A210" s="2" t="n">
        <v>209</v>
      </c>
      <c r="B210" s="2" t="s">
        <v>103</v>
      </c>
      <c r="C210" s="2" t="s">
        <v>68</v>
      </c>
      <c r="D210" s="2" t="n">
        <v>6</v>
      </c>
      <c r="E210" s="2" t="s">
        <v>1821</v>
      </c>
      <c r="F210" s="2" t="s">
        <v>1770</v>
      </c>
      <c r="G210" s="2" t="s">
        <v>1771</v>
      </c>
    </row>
    <row r="211" customFormat="false" ht="15" hidden="false" customHeight="false" outlineLevel="0" collapsed="false">
      <c r="A211" s="2" t="n">
        <v>210</v>
      </c>
      <c r="B211" s="2" t="s">
        <v>124</v>
      </c>
      <c r="C211" s="2" t="s">
        <v>68</v>
      </c>
      <c r="D211" s="2" t="n">
        <v>5</v>
      </c>
      <c r="E211" s="2" t="s">
        <v>1822</v>
      </c>
      <c r="F211" s="2" t="s">
        <v>1823</v>
      </c>
      <c r="G211" s="2" t="s">
        <v>1771</v>
      </c>
    </row>
    <row r="212" customFormat="false" ht="15" hidden="false" customHeight="false" outlineLevel="0" collapsed="false">
      <c r="A212" s="2" t="n">
        <v>211</v>
      </c>
      <c r="B212" s="2" t="s">
        <v>97</v>
      </c>
      <c r="C212" s="2" t="s">
        <v>68</v>
      </c>
      <c r="D212" s="2" t="n">
        <v>5</v>
      </c>
      <c r="E212" s="2" t="s">
        <v>1824</v>
      </c>
      <c r="F212" s="2" t="s">
        <v>1823</v>
      </c>
      <c r="G212" s="2" t="s">
        <v>1771</v>
      </c>
    </row>
    <row r="213" customFormat="false" ht="15" hidden="false" customHeight="false" outlineLevel="0" collapsed="false">
      <c r="A213" s="2" t="n">
        <v>212</v>
      </c>
      <c r="B213" s="2" t="s">
        <v>70</v>
      </c>
      <c r="C213" s="2" t="s">
        <v>68</v>
      </c>
      <c r="D213" s="2" t="n">
        <v>5</v>
      </c>
      <c r="E213" s="2" t="s">
        <v>1825</v>
      </c>
      <c r="F213" s="2" t="s">
        <v>1823</v>
      </c>
      <c r="G213" s="2" t="s">
        <v>1771</v>
      </c>
    </row>
    <row r="214" customFormat="false" ht="15" hidden="false" customHeight="false" outlineLevel="0" collapsed="false">
      <c r="A214" s="2" t="n">
        <v>213</v>
      </c>
      <c r="B214" s="2" t="s">
        <v>203</v>
      </c>
      <c r="C214" s="2" t="s">
        <v>68</v>
      </c>
      <c r="D214" s="2" t="n">
        <v>5</v>
      </c>
      <c r="E214" s="2" t="s">
        <v>1826</v>
      </c>
      <c r="F214" s="2" t="s">
        <v>1823</v>
      </c>
      <c r="G214" s="2" t="s">
        <v>1771</v>
      </c>
    </row>
    <row r="215" customFormat="false" ht="15" hidden="false" customHeight="false" outlineLevel="0" collapsed="false">
      <c r="A215" s="2" t="n">
        <v>214</v>
      </c>
      <c r="B215" s="2" t="s">
        <v>101</v>
      </c>
      <c r="C215" s="2" t="s">
        <v>68</v>
      </c>
      <c r="D215" s="2" t="n">
        <v>5</v>
      </c>
      <c r="E215" s="2" t="s">
        <v>1827</v>
      </c>
      <c r="F215" s="2" t="s">
        <v>1823</v>
      </c>
      <c r="G215" s="2" t="s">
        <v>1771</v>
      </c>
    </row>
    <row r="216" customFormat="false" ht="15" hidden="false" customHeight="false" outlineLevel="0" collapsed="false">
      <c r="A216" s="2" t="n">
        <v>215</v>
      </c>
      <c r="B216" s="2" t="s">
        <v>121</v>
      </c>
      <c r="C216" s="2" t="s">
        <v>68</v>
      </c>
      <c r="D216" s="2" t="n">
        <v>4</v>
      </c>
      <c r="E216" s="2" t="s">
        <v>1828</v>
      </c>
      <c r="F216" s="2" t="s">
        <v>1777</v>
      </c>
      <c r="G216" s="2" t="s">
        <v>1771</v>
      </c>
    </row>
    <row r="217" customFormat="false" ht="15" hidden="false" customHeight="false" outlineLevel="0" collapsed="false">
      <c r="A217" s="2" t="n">
        <v>216</v>
      </c>
      <c r="B217" s="2" t="s">
        <v>440</v>
      </c>
      <c r="C217" s="2" t="s">
        <v>68</v>
      </c>
      <c r="D217" s="2" t="n">
        <v>4</v>
      </c>
      <c r="E217" s="2" t="s">
        <v>1779</v>
      </c>
      <c r="F217" s="2" t="s">
        <v>1777</v>
      </c>
      <c r="G217" s="2" t="s">
        <v>1771</v>
      </c>
    </row>
    <row r="218" customFormat="false" ht="15" hidden="false" customHeight="false" outlineLevel="0" collapsed="false">
      <c r="A218" s="2" t="n">
        <v>217</v>
      </c>
      <c r="B218" s="2" t="s">
        <v>229</v>
      </c>
      <c r="C218" s="2" t="s">
        <v>68</v>
      </c>
      <c r="D218" s="2" t="n">
        <v>4</v>
      </c>
      <c r="E218" s="2" t="s">
        <v>1829</v>
      </c>
      <c r="F218" s="2" t="s">
        <v>1777</v>
      </c>
      <c r="G218" s="2" t="s">
        <v>1771</v>
      </c>
    </row>
    <row r="219" customFormat="false" ht="15" hidden="false" customHeight="false" outlineLevel="0" collapsed="false">
      <c r="A219" s="2" t="n">
        <v>218</v>
      </c>
      <c r="B219" s="2" t="s">
        <v>113</v>
      </c>
      <c r="C219" s="2" t="s">
        <v>68</v>
      </c>
      <c r="D219" s="2" t="n">
        <v>3</v>
      </c>
      <c r="E219" s="2" t="s">
        <v>1830</v>
      </c>
      <c r="F219" s="2" t="s">
        <v>1782</v>
      </c>
      <c r="G219" s="2" t="s">
        <v>1783</v>
      </c>
    </row>
    <row r="220" customFormat="false" ht="15" hidden="false" customHeight="false" outlineLevel="0" collapsed="false">
      <c r="A220" s="2" t="n">
        <v>219</v>
      </c>
      <c r="B220" s="2" t="s">
        <v>144</v>
      </c>
      <c r="C220" s="2" t="s">
        <v>68</v>
      </c>
      <c r="D220" s="2" t="n">
        <v>3</v>
      </c>
      <c r="E220" s="2" t="s">
        <v>1831</v>
      </c>
      <c r="F220" s="2" t="s">
        <v>1782</v>
      </c>
      <c r="G220" s="2" t="s">
        <v>1783</v>
      </c>
    </row>
    <row r="221" customFormat="false" ht="15" hidden="false" customHeight="false" outlineLevel="0" collapsed="false">
      <c r="A221" s="2" t="n">
        <v>220</v>
      </c>
      <c r="B221" s="2" t="s">
        <v>148</v>
      </c>
      <c r="C221" s="2" t="s">
        <v>68</v>
      </c>
      <c r="D221" s="2" t="n">
        <v>3</v>
      </c>
      <c r="E221" s="2" t="s">
        <v>1832</v>
      </c>
      <c r="F221" s="2" t="s">
        <v>1782</v>
      </c>
      <c r="G221" s="2" t="s">
        <v>1783</v>
      </c>
    </row>
    <row r="222" customFormat="false" ht="15" hidden="false" customHeight="false" outlineLevel="0" collapsed="false">
      <c r="A222" s="2" t="n">
        <v>221</v>
      </c>
      <c r="B222" s="2" t="s">
        <v>481</v>
      </c>
      <c r="C222" s="2" t="s">
        <v>68</v>
      </c>
      <c r="D222" s="2" t="n">
        <v>3</v>
      </c>
      <c r="E222" s="2" t="s">
        <v>1833</v>
      </c>
      <c r="F222" s="2" t="s">
        <v>1782</v>
      </c>
      <c r="G222" s="2" t="s">
        <v>1783</v>
      </c>
    </row>
    <row r="223" customFormat="false" ht="15" hidden="false" customHeight="false" outlineLevel="0" collapsed="false">
      <c r="A223" s="2" t="n">
        <v>222</v>
      </c>
      <c r="B223" s="2" t="s">
        <v>130</v>
      </c>
      <c r="C223" s="2" t="s">
        <v>68</v>
      </c>
      <c r="D223" s="2" t="n">
        <v>3</v>
      </c>
      <c r="E223" s="2" t="s">
        <v>1834</v>
      </c>
      <c r="F223" s="2" t="s">
        <v>1782</v>
      </c>
      <c r="G223" s="2" t="s">
        <v>1783</v>
      </c>
    </row>
    <row r="224" customFormat="false" ht="15" hidden="false" customHeight="false" outlineLevel="0" collapsed="false">
      <c r="A224" s="2" t="n">
        <v>223</v>
      </c>
      <c r="B224" s="2" t="s">
        <v>235</v>
      </c>
      <c r="C224" s="2" t="s">
        <v>68</v>
      </c>
      <c r="D224" s="2" t="n">
        <v>3</v>
      </c>
      <c r="E224" s="2" t="s">
        <v>1789</v>
      </c>
      <c r="F224" s="2" t="s">
        <v>1782</v>
      </c>
      <c r="G224" s="2" t="s">
        <v>1783</v>
      </c>
    </row>
    <row r="225" customFormat="false" ht="15" hidden="false" customHeight="false" outlineLevel="0" collapsed="false">
      <c r="A225" s="2" t="n">
        <v>224</v>
      </c>
      <c r="B225" s="2" t="s">
        <v>606</v>
      </c>
      <c r="C225" s="2" t="s">
        <v>68</v>
      </c>
      <c r="D225" s="2" t="n">
        <v>3</v>
      </c>
      <c r="E225" s="2" t="s">
        <v>1835</v>
      </c>
      <c r="F225" s="2" t="s">
        <v>1782</v>
      </c>
      <c r="G225" s="2" t="s">
        <v>1783</v>
      </c>
    </row>
    <row r="226" customFormat="false" ht="15" hidden="false" customHeight="false" outlineLevel="0" collapsed="false">
      <c r="A226" s="2" t="n">
        <v>225</v>
      </c>
      <c r="B226" s="2" t="s">
        <v>232</v>
      </c>
      <c r="C226" s="2" t="s">
        <v>68</v>
      </c>
      <c r="D226" s="2" t="n">
        <v>3</v>
      </c>
      <c r="E226" s="2" t="s">
        <v>1836</v>
      </c>
      <c r="F226" s="2" t="s">
        <v>1782</v>
      </c>
      <c r="G226" s="2" t="s">
        <v>1783</v>
      </c>
    </row>
    <row r="227" customFormat="false" ht="15" hidden="false" customHeight="false" outlineLevel="0" collapsed="false">
      <c r="A227" s="2" t="n">
        <v>226</v>
      </c>
      <c r="B227" s="2" t="s">
        <v>218</v>
      </c>
      <c r="C227" s="2" t="s">
        <v>68</v>
      </c>
      <c r="D227" s="2" t="n">
        <v>3</v>
      </c>
      <c r="E227" s="2" t="s">
        <v>1837</v>
      </c>
      <c r="F227" s="2" t="s">
        <v>1782</v>
      </c>
      <c r="G227" s="2" t="s">
        <v>1783</v>
      </c>
    </row>
    <row r="228" customFormat="false" ht="15" hidden="false" customHeight="false" outlineLevel="0" collapsed="false">
      <c r="A228" s="2" t="n">
        <v>227</v>
      </c>
      <c r="B228" s="2" t="s">
        <v>245</v>
      </c>
      <c r="C228" s="2" t="s">
        <v>68</v>
      </c>
      <c r="D228" s="2" t="n">
        <v>3</v>
      </c>
      <c r="E228" s="2" t="s">
        <v>1838</v>
      </c>
      <c r="F228" s="2" t="s">
        <v>1782</v>
      </c>
      <c r="G228" s="2" t="s">
        <v>1783</v>
      </c>
    </row>
    <row r="229" customFormat="false" ht="15" hidden="false" customHeight="false" outlineLevel="0" collapsed="false">
      <c r="A229" s="2" t="n">
        <v>228</v>
      </c>
      <c r="B229" s="2" t="s">
        <v>76</v>
      </c>
      <c r="C229" s="2" t="s">
        <v>68</v>
      </c>
      <c r="D229" s="2" t="n">
        <v>3</v>
      </c>
      <c r="E229" s="2" t="s">
        <v>1839</v>
      </c>
      <c r="F229" s="2" t="s">
        <v>1782</v>
      </c>
      <c r="G229" s="2" t="s">
        <v>1783</v>
      </c>
    </row>
    <row r="230" customFormat="false" ht="15" hidden="false" customHeight="false" outlineLevel="0" collapsed="false">
      <c r="A230" s="2" t="n">
        <v>229</v>
      </c>
      <c r="B230" s="2" t="s">
        <v>443</v>
      </c>
      <c r="C230" s="2" t="s">
        <v>68</v>
      </c>
      <c r="D230" s="2" t="n">
        <v>3</v>
      </c>
      <c r="E230" s="2" t="s">
        <v>1840</v>
      </c>
      <c r="F230" s="2" t="s">
        <v>1782</v>
      </c>
      <c r="G230" s="2" t="s">
        <v>1783</v>
      </c>
    </row>
    <row r="231" customFormat="false" ht="15" hidden="false" customHeight="false" outlineLevel="0" collapsed="false">
      <c r="A231" s="2" t="n">
        <v>230</v>
      </c>
      <c r="B231" s="2" t="s">
        <v>200</v>
      </c>
      <c r="C231" s="2" t="s">
        <v>68</v>
      </c>
      <c r="D231" s="2" t="n">
        <v>3</v>
      </c>
      <c r="E231" s="2" t="s">
        <v>1841</v>
      </c>
      <c r="F231" s="2" t="s">
        <v>1782</v>
      </c>
      <c r="G231" s="2" t="s">
        <v>1783</v>
      </c>
    </row>
    <row r="232" customFormat="false" ht="15" hidden="false" customHeight="false" outlineLevel="0" collapsed="false">
      <c r="A232" s="2" t="n">
        <v>231</v>
      </c>
      <c r="B232" s="2" t="s">
        <v>602</v>
      </c>
      <c r="C232" s="2" t="s">
        <v>68</v>
      </c>
      <c r="D232" s="2" t="n">
        <v>2</v>
      </c>
      <c r="E232" s="2" t="s">
        <v>1842</v>
      </c>
      <c r="F232" s="2" t="s">
        <v>1792</v>
      </c>
      <c r="G232" s="2" t="s">
        <v>1783</v>
      </c>
    </row>
    <row r="233" customFormat="false" ht="15" hidden="false" customHeight="false" outlineLevel="0" collapsed="false">
      <c r="A233" s="2" t="n">
        <v>232</v>
      </c>
      <c r="B233" s="2" t="s">
        <v>450</v>
      </c>
      <c r="C233" s="2" t="s">
        <v>68</v>
      </c>
      <c r="D233" s="2" t="n">
        <v>2</v>
      </c>
      <c r="E233" s="2" t="s">
        <v>1793</v>
      </c>
      <c r="F233" s="2" t="s">
        <v>1792</v>
      </c>
      <c r="G233" s="2" t="s">
        <v>1783</v>
      </c>
    </row>
    <row r="234" customFormat="false" ht="15" hidden="false" customHeight="false" outlineLevel="0" collapsed="false">
      <c r="A234" s="2" t="n">
        <v>233</v>
      </c>
      <c r="B234" s="2" t="s">
        <v>458</v>
      </c>
      <c r="C234" s="2" t="s">
        <v>68</v>
      </c>
      <c r="D234" s="2" t="n">
        <v>2</v>
      </c>
      <c r="E234" s="2" t="s">
        <v>1843</v>
      </c>
      <c r="F234" s="2" t="s">
        <v>1792</v>
      </c>
      <c r="G234" s="2" t="s">
        <v>1783</v>
      </c>
    </row>
    <row r="235" customFormat="false" ht="15" hidden="false" customHeight="false" outlineLevel="0" collapsed="false">
      <c r="A235" s="2" t="n">
        <v>234</v>
      </c>
      <c r="B235" s="2" t="s">
        <v>475</v>
      </c>
      <c r="C235" s="2" t="s">
        <v>68</v>
      </c>
      <c r="D235" s="2" t="n">
        <v>2</v>
      </c>
      <c r="E235" s="2" t="s">
        <v>1805</v>
      </c>
      <c r="F235" s="2" t="s">
        <v>1792</v>
      </c>
      <c r="G235" s="2" t="s">
        <v>1783</v>
      </c>
    </row>
    <row r="236" customFormat="false" ht="15" hidden="false" customHeight="false" outlineLevel="0" collapsed="false">
      <c r="A236" s="2" t="n">
        <v>235</v>
      </c>
      <c r="B236" s="2" t="s">
        <v>79</v>
      </c>
      <c r="C236" s="2" t="s">
        <v>68</v>
      </c>
      <c r="D236" s="2" t="n">
        <v>2</v>
      </c>
      <c r="E236" s="2" t="s">
        <v>1795</v>
      </c>
      <c r="F236" s="2" t="s">
        <v>1792</v>
      </c>
      <c r="G236" s="2" t="s">
        <v>1783</v>
      </c>
    </row>
    <row r="237" customFormat="false" ht="15" hidden="false" customHeight="false" outlineLevel="0" collapsed="false">
      <c r="A237" s="2" t="n">
        <v>236</v>
      </c>
      <c r="B237" s="2" t="s">
        <v>730</v>
      </c>
      <c r="C237" s="2" t="s">
        <v>68</v>
      </c>
      <c r="D237" s="2" t="n">
        <v>2</v>
      </c>
      <c r="E237" s="2" t="s">
        <v>1796</v>
      </c>
      <c r="F237" s="2" t="s">
        <v>1792</v>
      </c>
      <c r="G237" s="2" t="s">
        <v>1783</v>
      </c>
    </row>
    <row r="238" customFormat="false" ht="15" hidden="false" customHeight="false" outlineLevel="0" collapsed="false">
      <c r="A238" s="2" t="n">
        <v>237</v>
      </c>
      <c r="B238" s="2" t="s">
        <v>73</v>
      </c>
      <c r="C238" s="2" t="s">
        <v>68</v>
      </c>
      <c r="D238" s="2" t="n">
        <v>2</v>
      </c>
      <c r="E238" s="2" t="s">
        <v>1844</v>
      </c>
      <c r="F238" s="2" t="s">
        <v>1792</v>
      </c>
      <c r="G238" s="2" t="s">
        <v>1783</v>
      </c>
    </row>
    <row r="239" customFormat="false" ht="15" hidden="false" customHeight="false" outlineLevel="0" collapsed="false">
      <c r="A239" s="2" t="n">
        <v>238</v>
      </c>
      <c r="B239" s="2" t="s">
        <v>1011</v>
      </c>
      <c r="C239" s="2" t="s">
        <v>68</v>
      </c>
      <c r="D239" s="2" t="n">
        <v>2</v>
      </c>
      <c r="E239" s="2" t="s">
        <v>1791</v>
      </c>
      <c r="F239" s="2" t="s">
        <v>1792</v>
      </c>
      <c r="G239" s="2" t="s">
        <v>1783</v>
      </c>
    </row>
    <row r="240" customFormat="false" ht="15" hidden="false" customHeight="false" outlineLevel="0" collapsed="false">
      <c r="A240" s="2" t="n">
        <v>239</v>
      </c>
      <c r="B240" s="2" t="s">
        <v>147</v>
      </c>
      <c r="C240" s="2" t="s">
        <v>68</v>
      </c>
      <c r="D240" s="2" t="n">
        <v>2</v>
      </c>
      <c r="E240" s="2" t="s">
        <v>1795</v>
      </c>
      <c r="F240" s="2" t="s">
        <v>1792</v>
      </c>
      <c r="G240" s="2" t="s">
        <v>1783</v>
      </c>
    </row>
    <row r="241" customFormat="false" ht="15" hidden="false" customHeight="false" outlineLevel="0" collapsed="false">
      <c r="A241" s="2" t="n">
        <v>240</v>
      </c>
      <c r="B241" s="2" t="s">
        <v>138</v>
      </c>
      <c r="C241" s="2" t="s">
        <v>68</v>
      </c>
      <c r="D241" s="2" t="n">
        <v>2</v>
      </c>
      <c r="E241" s="2" t="s">
        <v>1845</v>
      </c>
      <c r="F241" s="2" t="s">
        <v>1792</v>
      </c>
      <c r="G241" s="2" t="s">
        <v>1783</v>
      </c>
    </row>
    <row r="242" customFormat="false" ht="15" hidden="false" customHeight="false" outlineLevel="0" collapsed="false">
      <c r="A242" s="2" t="n">
        <v>241</v>
      </c>
      <c r="B242" s="2" t="s">
        <v>687</v>
      </c>
      <c r="C242" s="2" t="s">
        <v>68</v>
      </c>
      <c r="D242" s="2" t="n">
        <v>2</v>
      </c>
      <c r="E242" s="2" t="s">
        <v>1846</v>
      </c>
      <c r="F242" s="2" t="s">
        <v>1792</v>
      </c>
      <c r="G242" s="2" t="s">
        <v>1783</v>
      </c>
    </row>
    <row r="243" customFormat="false" ht="15" hidden="false" customHeight="false" outlineLevel="0" collapsed="false">
      <c r="A243" s="2" t="n">
        <v>242</v>
      </c>
      <c r="B243" s="2" t="s">
        <v>221</v>
      </c>
      <c r="C243" s="2" t="s">
        <v>68</v>
      </c>
      <c r="D243" s="2" t="n">
        <v>2</v>
      </c>
      <c r="E243" s="2" t="s">
        <v>1847</v>
      </c>
      <c r="F243" s="2" t="s">
        <v>1792</v>
      </c>
      <c r="G243" s="2" t="s">
        <v>1783</v>
      </c>
    </row>
    <row r="244" customFormat="false" ht="15" hidden="false" customHeight="false" outlineLevel="0" collapsed="false">
      <c r="A244" s="2" t="n">
        <v>243</v>
      </c>
      <c r="B244" s="2" t="s">
        <v>224</v>
      </c>
      <c r="C244" s="2" t="s">
        <v>68</v>
      </c>
      <c r="D244" s="2" t="n">
        <v>2</v>
      </c>
      <c r="E244" s="2" t="s">
        <v>1847</v>
      </c>
      <c r="F244" s="2" t="s">
        <v>1792</v>
      </c>
      <c r="G244" s="2" t="s">
        <v>1783</v>
      </c>
    </row>
    <row r="245" customFormat="false" ht="15" hidden="false" customHeight="false" outlineLevel="0" collapsed="false">
      <c r="A245" s="2" t="n">
        <v>244</v>
      </c>
      <c r="B245" s="2" t="s">
        <v>110</v>
      </c>
      <c r="C245" s="2" t="s">
        <v>68</v>
      </c>
      <c r="D245" s="2" t="n">
        <v>2</v>
      </c>
      <c r="E245" s="2" t="s">
        <v>1848</v>
      </c>
      <c r="F245" s="2" t="s">
        <v>1792</v>
      </c>
      <c r="G245" s="2" t="s">
        <v>1783</v>
      </c>
    </row>
    <row r="246" customFormat="false" ht="15" hidden="false" customHeight="false" outlineLevel="0" collapsed="false">
      <c r="A246" s="2" t="n">
        <v>245</v>
      </c>
      <c r="B246" s="2" t="s">
        <v>432</v>
      </c>
      <c r="C246" s="2" t="s">
        <v>68</v>
      </c>
      <c r="D246" s="2" t="n">
        <v>2</v>
      </c>
      <c r="E246" s="2" t="s">
        <v>1798</v>
      </c>
      <c r="F246" s="2" t="s">
        <v>1792</v>
      </c>
      <c r="G246" s="2" t="s">
        <v>1783</v>
      </c>
    </row>
    <row r="247" customFormat="false" ht="15" hidden="false" customHeight="false" outlineLevel="0" collapsed="false">
      <c r="A247" s="2" t="n">
        <v>246</v>
      </c>
      <c r="B247" s="2" t="s">
        <v>675</v>
      </c>
      <c r="C247" s="2" t="s">
        <v>68</v>
      </c>
      <c r="D247" s="2" t="n">
        <v>2</v>
      </c>
      <c r="E247" s="2" t="s">
        <v>1846</v>
      </c>
      <c r="F247" s="2" t="s">
        <v>1792</v>
      </c>
      <c r="G247" s="2" t="s">
        <v>1783</v>
      </c>
    </row>
    <row r="248" customFormat="false" ht="15" hidden="false" customHeight="false" outlineLevel="0" collapsed="false">
      <c r="A248" s="2" t="n">
        <v>247</v>
      </c>
      <c r="B248" s="2" t="s">
        <v>251</v>
      </c>
      <c r="C248" s="2" t="s">
        <v>68</v>
      </c>
      <c r="D248" s="2" t="n">
        <v>1</v>
      </c>
      <c r="E248" s="2" t="s">
        <v>151</v>
      </c>
      <c r="F248" s="2" t="s">
        <v>1807</v>
      </c>
      <c r="G248" s="2" t="s">
        <v>1783</v>
      </c>
    </row>
    <row r="249" customFormat="false" ht="15" hidden="false" customHeight="false" outlineLevel="0" collapsed="false">
      <c r="A249" s="2" t="n">
        <v>248</v>
      </c>
      <c r="B249" s="2" t="s">
        <v>508</v>
      </c>
      <c r="C249" s="2" t="s">
        <v>68</v>
      </c>
      <c r="D249" s="2" t="n">
        <v>1</v>
      </c>
      <c r="E249" s="2" t="s">
        <v>317</v>
      </c>
      <c r="F249" s="2" t="s">
        <v>1807</v>
      </c>
      <c r="G249" s="2" t="s">
        <v>1783</v>
      </c>
    </row>
    <row r="250" customFormat="false" ht="15" hidden="false" customHeight="false" outlineLevel="0" collapsed="false">
      <c r="A250" s="2" t="n">
        <v>249</v>
      </c>
      <c r="B250" s="2" t="s">
        <v>504</v>
      </c>
      <c r="C250" s="2" t="s">
        <v>68</v>
      </c>
      <c r="D250" s="2" t="n">
        <v>1</v>
      </c>
      <c r="E250" s="2" t="s">
        <v>317</v>
      </c>
      <c r="F250" s="2" t="s">
        <v>1807</v>
      </c>
      <c r="G250" s="2" t="s">
        <v>1783</v>
      </c>
    </row>
    <row r="251" customFormat="false" ht="15" hidden="false" customHeight="false" outlineLevel="0" collapsed="false">
      <c r="A251" s="2" t="n">
        <v>250</v>
      </c>
      <c r="B251" s="2" t="s">
        <v>1014</v>
      </c>
      <c r="C251" s="2" t="s">
        <v>68</v>
      </c>
      <c r="D251" s="2" t="n">
        <v>1</v>
      </c>
      <c r="E251" s="2" t="s">
        <v>905</v>
      </c>
      <c r="F251" s="2" t="s">
        <v>1807</v>
      </c>
      <c r="G251" s="2" t="s">
        <v>1783</v>
      </c>
    </row>
    <row r="252" customFormat="false" ht="15" hidden="false" customHeight="false" outlineLevel="0" collapsed="false">
      <c r="A252" s="2" t="n">
        <v>251</v>
      </c>
      <c r="B252" s="2" t="s">
        <v>893</v>
      </c>
      <c r="C252" s="2" t="s">
        <v>68</v>
      </c>
      <c r="D252" s="2" t="n">
        <v>1</v>
      </c>
      <c r="E252" s="2" t="s">
        <v>791</v>
      </c>
      <c r="F252" s="2" t="s">
        <v>1807</v>
      </c>
      <c r="G252" s="2" t="s">
        <v>1783</v>
      </c>
    </row>
    <row r="253" customFormat="false" ht="15" hidden="false" customHeight="false" outlineLevel="0" collapsed="false">
      <c r="A253" s="2" t="n">
        <v>252</v>
      </c>
      <c r="B253" s="2" t="s">
        <v>889</v>
      </c>
      <c r="C253" s="2" t="s">
        <v>68</v>
      </c>
      <c r="D253" s="2" t="n">
        <v>1</v>
      </c>
      <c r="E253" s="2" t="s">
        <v>791</v>
      </c>
      <c r="F253" s="2" t="s">
        <v>1807</v>
      </c>
      <c r="G253" s="2" t="s">
        <v>1783</v>
      </c>
    </row>
    <row r="254" customFormat="false" ht="15" hidden="false" customHeight="false" outlineLevel="0" collapsed="false">
      <c r="A254" s="2" t="n">
        <v>253</v>
      </c>
      <c r="B254" s="2" t="s">
        <v>782</v>
      </c>
      <c r="C254" s="2" t="s">
        <v>68</v>
      </c>
      <c r="D254" s="2" t="n">
        <v>1</v>
      </c>
      <c r="E254" s="2" t="s">
        <v>731</v>
      </c>
      <c r="F254" s="2" t="s">
        <v>1807</v>
      </c>
      <c r="G254" s="2" t="s">
        <v>1783</v>
      </c>
    </row>
    <row r="255" customFormat="false" ht="15" hidden="false" customHeight="false" outlineLevel="0" collapsed="false">
      <c r="A255" s="2" t="n">
        <v>254</v>
      </c>
      <c r="B255" s="2" t="s">
        <v>899</v>
      </c>
      <c r="C255" s="2" t="s">
        <v>68</v>
      </c>
      <c r="D255" s="2" t="n">
        <v>1</v>
      </c>
      <c r="E255" s="2" t="s">
        <v>791</v>
      </c>
      <c r="F255" s="2" t="s">
        <v>1807</v>
      </c>
      <c r="G255" s="2" t="s">
        <v>1783</v>
      </c>
    </row>
    <row r="256" customFormat="false" ht="15" hidden="false" customHeight="false" outlineLevel="0" collapsed="false">
      <c r="A256" s="2" t="n">
        <v>255</v>
      </c>
      <c r="B256" s="2" t="s">
        <v>883</v>
      </c>
      <c r="C256" s="2" t="s">
        <v>68</v>
      </c>
      <c r="D256" s="2" t="n">
        <v>1</v>
      </c>
      <c r="E256" s="2" t="s">
        <v>791</v>
      </c>
      <c r="F256" s="2" t="s">
        <v>1807</v>
      </c>
      <c r="G256" s="2" t="s">
        <v>1783</v>
      </c>
    </row>
    <row r="257" customFormat="false" ht="15" hidden="false" customHeight="false" outlineLevel="0" collapsed="false">
      <c r="A257" s="2" t="n">
        <v>256</v>
      </c>
      <c r="B257" s="2" t="s">
        <v>891</v>
      </c>
      <c r="C257" s="2" t="s">
        <v>68</v>
      </c>
      <c r="D257" s="2" t="n">
        <v>1</v>
      </c>
      <c r="E257" s="2" t="s">
        <v>791</v>
      </c>
      <c r="F257" s="2" t="s">
        <v>1807</v>
      </c>
      <c r="G257" s="2" t="s">
        <v>1783</v>
      </c>
    </row>
    <row r="258" customFormat="false" ht="15" hidden="false" customHeight="false" outlineLevel="0" collapsed="false">
      <c r="A258" s="2" t="n">
        <v>257</v>
      </c>
      <c r="B258" s="2" t="s">
        <v>852</v>
      </c>
      <c r="C258" s="2" t="s">
        <v>68</v>
      </c>
      <c r="D258" s="2" t="n">
        <v>1</v>
      </c>
      <c r="E258" s="2" t="s">
        <v>791</v>
      </c>
      <c r="F258" s="2" t="s">
        <v>1807</v>
      </c>
      <c r="G258" s="2" t="s">
        <v>1783</v>
      </c>
    </row>
    <row r="259" customFormat="false" ht="15" hidden="false" customHeight="false" outlineLevel="0" collapsed="false">
      <c r="A259" s="2" t="n">
        <v>258</v>
      </c>
      <c r="B259" s="2" t="s">
        <v>1064</v>
      </c>
      <c r="C259" s="2" t="s">
        <v>68</v>
      </c>
      <c r="D259" s="2" t="n">
        <v>1</v>
      </c>
      <c r="E259" s="2" t="s">
        <v>1020</v>
      </c>
      <c r="F259" s="2" t="s">
        <v>1807</v>
      </c>
      <c r="G259" s="2" t="s">
        <v>1783</v>
      </c>
    </row>
    <row r="260" customFormat="false" ht="15" hidden="false" customHeight="false" outlineLevel="0" collapsed="false">
      <c r="A260" s="2" t="n">
        <v>259</v>
      </c>
      <c r="B260" s="2" t="s">
        <v>93</v>
      </c>
      <c r="C260" s="2" t="s">
        <v>68</v>
      </c>
      <c r="D260" s="2" t="n">
        <v>1</v>
      </c>
      <c r="E260" s="2" t="s">
        <v>9</v>
      </c>
      <c r="F260" s="2" t="s">
        <v>1807</v>
      </c>
      <c r="G260" s="2" t="s">
        <v>1783</v>
      </c>
    </row>
    <row r="261" customFormat="false" ht="15" hidden="false" customHeight="false" outlineLevel="0" collapsed="false">
      <c r="A261" s="2" t="n">
        <v>260</v>
      </c>
      <c r="B261" s="2" t="s">
        <v>308</v>
      </c>
      <c r="C261" s="2" t="s">
        <v>68</v>
      </c>
      <c r="D261" s="2" t="n">
        <v>1</v>
      </c>
      <c r="E261" s="2" t="s">
        <v>254</v>
      </c>
      <c r="F261" s="2" t="s">
        <v>1807</v>
      </c>
      <c r="G261" s="2" t="s">
        <v>1783</v>
      </c>
    </row>
    <row r="262" customFormat="false" ht="15" hidden="false" customHeight="false" outlineLevel="0" collapsed="false">
      <c r="A262" s="2" t="n">
        <v>261</v>
      </c>
      <c r="B262" s="2" t="s">
        <v>881</v>
      </c>
      <c r="C262" s="2" t="s">
        <v>68</v>
      </c>
      <c r="D262" s="2" t="n">
        <v>1</v>
      </c>
      <c r="E262" s="2" t="s">
        <v>791</v>
      </c>
      <c r="F262" s="2" t="s">
        <v>1807</v>
      </c>
      <c r="G262" s="2" t="s">
        <v>1783</v>
      </c>
    </row>
    <row r="263" customFormat="false" ht="15" hidden="false" customHeight="false" outlineLevel="0" collapsed="false">
      <c r="A263" s="2" t="n">
        <v>262</v>
      </c>
      <c r="B263" s="2" t="s">
        <v>1145</v>
      </c>
      <c r="C263" s="2" t="s">
        <v>68</v>
      </c>
      <c r="D263" s="2" t="n">
        <v>1</v>
      </c>
      <c r="E263" s="2" t="s">
        <v>1100</v>
      </c>
      <c r="F263" s="2" t="s">
        <v>1807</v>
      </c>
      <c r="G263" s="2" t="s">
        <v>1783</v>
      </c>
    </row>
    <row r="264" customFormat="false" ht="15" hidden="false" customHeight="false" outlineLevel="0" collapsed="false">
      <c r="A264" s="2" t="n">
        <v>263</v>
      </c>
      <c r="B264" s="2" t="s">
        <v>877</v>
      </c>
      <c r="C264" s="2" t="s">
        <v>68</v>
      </c>
      <c r="D264" s="2" t="n">
        <v>1</v>
      </c>
      <c r="E264" s="2" t="s">
        <v>791</v>
      </c>
      <c r="F264" s="2" t="s">
        <v>1807</v>
      </c>
      <c r="G264" s="2" t="s">
        <v>1783</v>
      </c>
    </row>
    <row r="265" customFormat="false" ht="15" hidden="false" customHeight="false" outlineLevel="0" collapsed="false">
      <c r="A265" s="2" t="n">
        <v>264</v>
      </c>
      <c r="B265" s="2" t="s">
        <v>862</v>
      </c>
      <c r="C265" s="2" t="s">
        <v>68</v>
      </c>
      <c r="D265" s="2" t="n">
        <v>1</v>
      </c>
      <c r="E265" s="2" t="s">
        <v>791</v>
      </c>
      <c r="F265" s="2" t="s">
        <v>1807</v>
      </c>
      <c r="G265" s="2" t="s">
        <v>1783</v>
      </c>
    </row>
    <row r="266" customFormat="false" ht="15" hidden="false" customHeight="false" outlineLevel="0" collapsed="false">
      <c r="A266" s="2" t="n">
        <v>265</v>
      </c>
      <c r="B266" s="2" t="s">
        <v>802</v>
      </c>
      <c r="C266" s="2" t="s">
        <v>68</v>
      </c>
      <c r="D266" s="2" t="n">
        <v>1</v>
      </c>
      <c r="E266" s="2" t="s">
        <v>791</v>
      </c>
      <c r="F266" s="2" t="s">
        <v>1807</v>
      </c>
      <c r="G266" s="2" t="s">
        <v>1783</v>
      </c>
    </row>
    <row r="267" customFormat="false" ht="15" hidden="false" customHeight="false" outlineLevel="0" collapsed="false">
      <c r="A267" s="2" t="n">
        <v>266</v>
      </c>
      <c r="B267" s="2" t="s">
        <v>708</v>
      </c>
      <c r="C267" s="2" t="s">
        <v>68</v>
      </c>
      <c r="D267" s="2" t="n">
        <v>1</v>
      </c>
      <c r="E267" s="2" t="s">
        <v>608</v>
      </c>
      <c r="F267" s="2" t="s">
        <v>1807</v>
      </c>
      <c r="G267" s="2" t="s">
        <v>1783</v>
      </c>
    </row>
    <row r="268" customFormat="false" ht="15" hidden="false" customHeight="false" outlineLevel="0" collapsed="false">
      <c r="A268" s="2" t="n">
        <v>267</v>
      </c>
      <c r="B268" s="2" t="s">
        <v>864</v>
      </c>
      <c r="C268" s="2" t="s">
        <v>68</v>
      </c>
      <c r="D268" s="2" t="n">
        <v>1</v>
      </c>
      <c r="E268" s="2" t="s">
        <v>791</v>
      </c>
      <c r="F268" s="2" t="s">
        <v>1807</v>
      </c>
      <c r="G268" s="2" t="s">
        <v>1783</v>
      </c>
    </row>
    <row r="269" customFormat="false" ht="15" hidden="false" customHeight="false" outlineLevel="0" collapsed="false">
      <c r="A269" s="2" t="n">
        <v>268</v>
      </c>
      <c r="B269" s="2" t="s">
        <v>703</v>
      </c>
      <c r="C269" s="2" t="s">
        <v>68</v>
      </c>
      <c r="D269" s="2" t="n">
        <v>1</v>
      </c>
      <c r="E269" s="2" t="s">
        <v>608</v>
      </c>
      <c r="F269" s="2" t="s">
        <v>1807</v>
      </c>
      <c r="G269" s="2" t="s">
        <v>1783</v>
      </c>
    </row>
    <row r="270" customFormat="false" ht="15" hidden="false" customHeight="false" outlineLevel="0" collapsed="false">
      <c r="A270" s="2" t="n">
        <v>269</v>
      </c>
      <c r="B270" s="2" t="s">
        <v>488</v>
      </c>
      <c r="C270" s="2" t="s">
        <v>68</v>
      </c>
      <c r="D270" s="2" t="n">
        <v>1</v>
      </c>
      <c r="E270" s="2" t="s">
        <v>317</v>
      </c>
      <c r="F270" s="2" t="s">
        <v>1807</v>
      </c>
      <c r="G270" s="2" t="s">
        <v>1783</v>
      </c>
    </row>
    <row r="271" customFormat="false" ht="15" hidden="false" customHeight="false" outlineLevel="0" collapsed="false">
      <c r="A271" s="2" t="n">
        <v>270</v>
      </c>
      <c r="B271" s="2" t="s">
        <v>725</v>
      </c>
      <c r="C271" s="2" t="s">
        <v>68</v>
      </c>
      <c r="D271" s="2" t="n">
        <v>1</v>
      </c>
      <c r="E271" s="2" t="s">
        <v>608</v>
      </c>
      <c r="F271" s="2" t="s">
        <v>1807</v>
      </c>
      <c r="G271" s="2" t="s">
        <v>1783</v>
      </c>
    </row>
    <row r="272" customFormat="false" ht="15" hidden="false" customHeight="false" outlineLevel="0" collapsed="false">
      <c r="A272" s="2" t="n">
        <v>271</v>
      </c>
      <c r="B272" s="2" t="s">
        <v>91</v>
      </c>
      <c r="C272" s="2" t="s">
        <v>68</v>
      </c>
      <c r="D272" s="2" t="n">
        <v>1</v>
      </c>
      <c r="E272" s="2" t="s">
        <v>9</v>
      </c>
      <c r="F272" s="2" t="s">
        <v>1807</v>
      </c>
      <c r="G272" s="2" t="s">
        <v>1783</v>
      </c>
    </row>
    <row r="273" customFormat="false" ht="15" hidden="false" customHeight="false" outlineLevel="0" collapsed="false">
      <c r="A273" s="2" t="n">
        <v>272</v>
      </c>
      <c r="B273" s="2" t="s">
        <v>117</v>
      </c>
      <c r="C273" s="2" t="s">
        <v>68</v>
      </c>
      <c r="D273" s="2" t="n">
        <v>1</v>
      </c>
      <c r="E273" s="2" t="s">
        <v>9</v>
      </c>
      <c r="F273" s="2" t="s">
        <v>1807</v>
      </c>
      <c r="G273" s="2" t="s">
        <v>1783</v>
      </c>
    </row>
    <row r="274" customFormat="false" ht="15" hidden="false" customHeight="false" outlineLevel="0" collapsed="false">
      <c r="A274" s="2" t="n">
        <v>273</v>
      </c>
      <c r="B274" s="2" t="s">
        <v>710</v>
      </c>
      <c r="C274" s="2" t="s">
        <v>68</v>
      </c>
      <c r="D274" s="2" t="n">
        <v>1</v>
      </c>
      <c r="E274" s="2" t="s">
        <v>608</v>
      </c>
      <c r="F274" s="2" t="s">
        <v>1807</v>
      </c>
      <c r="G274" s="2" t="s">
        <v>1783</v>
      </c>
    </row>
    <row r="275" customFormat="false" ht="15" hidden="false" customHeight="false" outlineLevel="0" collapsed="false">
      <c r="A275" s="2" t="n">
        <v>274</v>
      </c>
      <c r="B275" s="2" t="s">
        <v>494</v>
      </c>
      <c r="C275" s="2" t="s">
        <v>68</v>
      </c>
      <c r="D275" s="2" t="n">
        <v>1</v>
      </c>
      <c r="E275" s="2" t="s">
        <v>317</v>
      </c>
      <c r="F275" s="2" t="s">
        <v>1807</v>
      </c>
      <c r="G275" s="2" t="s">
        <v>1783</v>
      </c>
    </row>
    <row r="276" customFormat="false" ht="15" hidden="false" customHeight="false" outlineLevel="0" collapsed="false">
      <c r="A276" s="2" t="n">
        <v>275</v>
      </c>
      <c r="B276" s="2" t="s">
        <v>182</v>
      </c>
      <c r="C276" s="2" t="s">
        <v>68</v>
      </c>
      <c r="D276" s="2" t="n">
        <v>1</v>
      </c>
      <c r="E276" s="2" t="s">
        <v>151</v>
      </c>
      <c r="F276" s="2" t="s">
        <v>1807</v>
      </c>
      <c r="G276" s="2" t="s">
        <v>1783</v>
      </c>
    </row>
    <row r="277" customFormat="false" ht="15" hidden="false" customHeight="false" outlineLevel="0" collapsed="false">
      <c r="A277" s="2" t="n">
        <v>276</v>
      </c>
      <c r="B277" s="2" t="s">
        <v>868</v>
      </c>
      <c r="C277" s="2" t="s">
        <v>68</v>
      </c>
      <c r="D277" s="2" t="n">
        <v>1</v>
      </c>
      <c r="E277" s="2" t="s">
        <v>791</v>
      </c>
      <c r="F277" s="2" t="s">
        <v>1807</v>
      </c>
      <c r="G277" s="2" t="s">
        <v>1783</v>
      </c>
    </row>
    <row r="278" customFormat="false" ht="15" hidden="false" customHeight="false" outlineLevel="0" collapsed="false">
      <c r="A278" s="2" t="n">
        <v>277</v>
      </c>
      <c r="B278" s="2" t="s">
        <v>287</v>
      </c>
      <c r="C278" s="2" t="s">
        <v>68</v>
      </c>
      <c r="D278" s="2" t="n">
        <v>1</v>
      </c>
      <c r="E278" s="2" t="s">
        <v>254</v>
      </c>
      <c r="F278" s="2" t="s">
        <v>1807</v>
      </c>
      <c r="G278" s="2" t="s">
        <v>1783</v>
      </c>
    </row>
    <row r="279" customFormat="false" ht="15" hidden="false" customHeight="false" outlineLevel="0" collapsed="false">
      <c r="A279" s="2" t="n">
        <v>278</v>
      </c>
      <c r="B279" s="2" t="s">
        <v>506</v>
      </c>
      <c r="C279" s="2" t="s">
        <v>68</v>
      </c>
      <c r="D279" s="2" t="n">
        <v>1</v>
      </c>
      <c r="E279" s="2" t="s">
        <v>317</v>
      </c>
      <c r="F279" s="2" t="s">
        <v>1807</v>
      </c>
      <c r="G279" s="2" t="s">
        <v>1783</v>
      </c>
    </row>
    <row r="280" customFormat="false" ht="15" hidden="false" customHeight="false" outlineLevel="0" collapsed="false">
      <c r="A280" s="2" t="n">
        <v>279</v>
      </c>
      <c r="B280" s="2" t="s">
        <v>502</v>
      </c>
      <c r="C280" s="2" t="s">
        <v>68</v>
      </c>
      <c r="D280" s="2" t="n">
        <v>1</v>
      </c>
      <c r="E280" s="2" t="s">
        <v>317</v>
      </c>
      <c r="F280" s="2" t="s">
        <v>1807</v>
      </c>
      <c r="G280" s="2" t="s">
        <v>1783</v>
      </c>
    </row>
    <row r="281" customFormat="false" ht="15" hidden="false" customHeight="false" outlineLevel="0" collapsed="false">
      <c r="A281" s="2" t="n">
        <v>280</v>
      </c>
      <c r="B281" s="2" t="s">
        <v>556</v>
      </c>
      <c r="C281" s="2" t="s">
        <v>68</v>
      </c>
      <c r="D281" s="2" t="n">
        <v>1</v>
      </c>
      <c r="E281" s="2" t="s">
        <v>514</v>
      </c>
      <c r="F281" s="2" t="s">
        <v>1807</v>
      </c>
      <c r="G281" s="2" t="s">
        <v>1783</v>
      </c>
    </row>
    <row r="282" customFormat="false" ht="15" hidden="false" customHeight="false" outlineLevel="0" collapsed="false">
      <c r="A282" s="2" t="n">
        <v>281</v>
      </c>
      <c r="B282" s="2" t="s">
        <v>461</v>
      </c>
      <c r="C282" s="2" t="s">
        <v>68</v>
      </c>
      <c r="D282" s="2" t="n">
        <v>1</v>
      </c>
      <c r="E282" s="2" t="s">
        <v>317</v>
      </c>
      <c r="F282" s="2" t="s">
        <v>1807</v>
      </c>
      <c r="G282" s="2" t="s">
        <v>1783</v>
      </c>
    </row>
    <row r="283" customFormat="false" ht="15" hidden="false" customHeight="false" outlineLevel="0" collapsed="false">
      <c r="A283" s="2" t="n">
        <v>282</v>
      </c>
      <c r="B283" s="2" t="s">
        <v>465</v>
      </c>
      <c r="C283" s="2" t="s">
        <v>68</v>
      </c>
      <c r="D283" s="2" t="n">
        <v>1</v>
      </c>
      <c r="E283" s="2" t="s">
        <v>317</v>
      </c>
      <c r="F283" s="2" t="s">
        <v>1807</v>
      </c>
      <c r="G283" s="2" t="s">
        <v>1783</v>
      </c>
    </row>
    <row r="284" customFormat="false" ht="15" hidden="false" customHeight="false" outlineLevel="0" collapsed="false">
      <c r="A284" s="2" t="n">
        <v>283</v>
      </c>
      <c r="B284" s="2" t="s">
        <v>420</v>
      </c>
      <c r="C284" s="2" t="s">
        <v>68</v>
      </c>
      <c r="D284" s="2" t="n">
        <v>1</v>
      </c>
      <c r="E284" s="2" t="s">
        <v>317</v>
      </c>
      <c r="F284" s="2" t="s">
        <v>1807</v>
      </c>
      <c r="G284" s="2" t="s">
        <v>1783</v>
      </c>
    </row>
    <row r="285" customFormat="false" ht="15" hidden="false" customHeight="false" outlineLevel="0" collapsed="false">
      <c r="A285" s="2" t="n">
        <v>284</v>
      </c>
      <c r="B285" s="2" t="s">
        <v>463</v>
      </c>
      <c r="C285" s="2" t="s">
        <v>68</v>
      </c>
      <c r="D285" s="2" t="n">
        <v>1</v>
      </c>
      <c r="E285" s="2" t="s">
        <v>317</v>
      </c>
      <c r="F285" s="2" t="s">
        <v>1807</v>
      </c>
      <c r="G285" s="2" t="s">
        <v>1783</v>
      </c>
    </row>
    <row r="286" customFormat="false" ht="15" hidden="false" customHeight="false" outlineLevel="0" collapsed="false">
      <c r="A286" s="2" t="n">
        <v>285</v>
      </c>
      <c r="B286" s="2" t="s">
        <v>455</v>
      </c>
      <c r="C286" s="2" t="s">
        <v>68</v>
      </c>
      <c r="D286" s="2" t="n">
        <v>1</v>
      </c>
      <c r="E286" s="2" t="s">
        <v>317</v>
      </c>
      <c r="F286" s="2" t="s">
        <v>1807</v>
      </c>
      <c r="G286" s="2" t="s">
        <v>1783</v>
      </c>
    </row>
    <row r="287" customFormat="false" ht="15" hidden="false" customHeight="false" outlineLevel="0" collapsed="false">
      <c r="A287" s="2" t="n">
        <v>286</v>
      </c>
      <c r="B287" s="2" t="s">
        <v>446</v>
      </c>
      <c r="C287" s="2" t="s">
        <v>68</v>
      </c>
      <c r="D287" s="2" t="n">
        <v>1</v>
      </c>
      <c r="E287" s="2" t="s">
        <v>317</v>
      </c>
      <c r="F287" s="2" t="s">
        <v>1807</v>
      </c>
      <c r="G287" s="2" t="s">
        <v>1783</v>
      </c>
    </row>
    <row r="288" customFormat="false" ht="15" hidden="false" customHeight="false" outlineLevel="0" collapsed="false">
      <c r="A288" s="2" t="n">
        <v>287</v>
      </c>
      <c r="B288" s="2" t="s">
        <v>459</v>
      </c>
      <c r="C288" s="2" t="s">
        <v>68</v>
      </c>
      <c r="D288" s="2" t="n">
        <v>1</v>
      </c>
      <c r="E288" s="2" t="s">
        <v>317</v>
      </c>
      <c r="F288" s="2" t="s">
        <v>1807</v>
      </c>
      <c r="G288" s="2" t="s">
        <v>1783</v>
      </c>
    </row>
    <row r="289" customFormat="false" ht="15" hidden="false" customHeight="false" outlineLevel="0" collapsed="false">
      <c r="A289" s="2" t="n">
        <v>288</v>
      </c>
      <c r="B289" s="2" t="s">
        <v>451</v>
      </c>
      <c r="C289" s="2" t="s">
        <v>68</v>
      </c>
      <c r="D289" s="2" t="n">
        <v>1</v>
      </c>
      <c r="E289" s="2" t="s">
        <v>317</v>
      </c>
      <c r="F289" s="2" t="s">
        <v>1807</v>
      </c>
      <c r="G289" s="2" t="s">
        <v>1783</v>
      </c>
    </row>
    <row r="290" customFormat="false" ht="15" hidden="false" customHeight="false" outlineLevel="0" collapsed="false">
      <c r="A290" s="2" t="n">
        <v>289</v>
      </c>
      <c r="B290" s="2" t="s">
        <v>482</v>
      </c>
      <c r="C290" s="2" t="s">
        <v>68</v>
      </c>
      <c r="D290" s="2" t="n">
        <v>1</v>
      </c>
      <c r="E290" s="2" t="s">
        <v>317</v>
      </c>
      <c r="F290" s="2" t="s">
        <v>1807</v>
      </c>
      <c r="G290" s="2" t="s">
        <v>1783</v>
      </c>
    </row>
    <row r="291" customFormat="false" ht="15" hidden="false" customHeight="false" outlineLevel="0" collapsed="false">
      <c r="A291" s="2" t="n">
        <v>290</v>
      </c>
      <c r="B291" s="2" t="s">
        <v>714</v>
      </c>
      <c r="C291" s="2" t="s">
        <v>68</v>
      </c>
      <c r="D291" s="2" t="n">
        <v>1</v>
      </c>
      <c r="E291" s="2" t="s">
        <v>608</v>
      </c>
      <c r="F291" s="2" t="s">
        <v>1807</v>
      </c>
      <c r="G291" s="2" t="s">
        <v>1783</v>
      </c>
    </row>
    <row r="292" customFormat="false" ht="15" hidden="false" customHeight="false" outlineLevel="0" collapsed="false">
      <c r="A292" s="2" t="n">
        <v>291</v>
      </c>
      <c r="B292" s="2" t="s">
        <v>718</v>
      </c>
      <c r="C292" s="2" t="s">
        <v>68</v>
      </c>
      <c r="D292" s="2" t="n">
        <v>1</v>
      </c>
      <c r="E292" s="2" t="s">
        <v>608</v>
      </c>
      <c r="F292" s="2" t="s">
        <v>1807</v>
      </c>
      <c r="G292" s="2" t="s">
        <v>1783</v>
      </c>
    </row>
    <row r="293" customFormat="false" ht="15" hidden="false" customHeight="false" outlineLevel="0" collapsed="false">
      <c r="A293" s="2" t="n">
        <v>292</v>
      </c>
      <c r="B293" s="2" t="s">
        <v>721</v>
      </c>
      <c r="C293" s="2" t="s">
        <v>68</v>
      </c>
      <c r="D293" s="2" t="n">
        <v>1</v>
      </c>
      <c r="E293" s="2" t="s">
        <v>608</v>
      </c>
      <c r="F293" s="2" t="s">
        <v>1807</v>
      </c>
      <c r="G293" s="2" t="s">
        <v>1783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5"/>
    <col collapsed="false" customWidth="true" hidden="false" outlineLevel="0" max="5" min="3" style="0" width="8"/>
    <col collapsed="false" customWidth="true" hidden="false" outlineLevel="0" max="6" min="6" style="0" width="10"/>
    <col collapsed="false" customWidth="true" hidden="false" outlineLevel="0" max="7" min="7" style="0" width="62"/>
  </cols>
  <sheetData>
    <row r="1" customFormat="false" ht="25.5" hidden="false" customHeight="true" outlineLevel="0" collapsed="false">
      <c r="A1" s="3" t="s">
        <v>1849</v>
      </c>
      <c r="B1" s="3"/>
      <c r="C1" s="3"/>
      <c r="D1" s="3"/>
      <c r="E1" s="3"/>
      <c r="F1" s="3"/>
      <c r="G1" s="3"/>
    </row>
    <row r="3" customFormat="false" ht="19.5" hidden="false" customHeight="true" outlineLevel="0" collapsed="false">
      <c r="A3" s="4" t="s">
        <v>1850</v>
      </c>
      <c r="B3" s="4"/>
      <c r="C3" s="4"/>
      <c r="D3" s="4"/>
      <c r="E3" s="4"/>
      <c r="F3" s="4"/>
      <c r="G3" s="4"/>
    </row>
    <row r="4" customFormat="false" ht="15" hidden="false" customHeight="false" outlineLevel="0" collapsed="false">
      <c r="A4" s="5" t="s">
        <v>1851</v>
      </c>
      <c r="B4" s="5" t="s">
        <v>1852</v>
      </c>
      <c r="C4" s="5" t="s">
        <v>1853</v>
      </c>
    </row>
    <row r="5" customFormat="false" ht="23.85" hidden="false" customHeight="false" outlineLevel="0" collapsed="false">
      <c r="A5" s="6" t="s">
        <v>1854</v>
      </c>
      <c r="B5" s="7" t="n">
        <f aca="false">COUNTA('Legend Tag AI'!B2:B13)</f>
        <v>12</v>
      </c>
      <c r="C5" s="6" t="s">
        <v>1855</v>
      </c>
    </row>
    <row r="6" customFormat="false" ht="35.05" hidden="false" customHeight="false" outlineLevel="0" collapsed="false">
      <c r="A6" s="6" t="s">
        <v>1856</v>
      </c>
      <c r="B6" s="7" t="n">
        <f aca="false">COUNTA('Superset Topik-Tokoh'!B2:B1000)</f>
        <v>738</v>
      </c>
      <c r="C6" s="6" t="s">
        <v>1857</v>
      </c>
    </row>
    <row r="7" customFormat="false" ht="46.25" hidden="false" customHeight="false" outlineLevel="0" collapsed="false">
      <c r="A7" s="6" t="s">
        <v>1858</v>
      </c>
      <c r="B7" s="7" t="n">
        <f aca="false">COUNTA('Konsistensi Prep vs Draft'!D2:D1000)</f>
        <v>738</v>
      </c>
      <c r="C7" s="6" t="s">
        <v>1859</v>
      </c>
    </row>
    <row r="8" customFormat="false" ht="23.85" hidden="false" customHeight="false" outlineLevel="0" collapsed="false">
      <c r="A8" s="6" t="s">
        <v>1860</v>
      </c>
      <c r="B8" s="7" t="n">
        <f aca="false">COUNTA('Konsensus 12 AI'!B2:B1000)</f>
        <v>292</v>
      </c>
      <c r="C8" s="6" t="s">
        <v>1861</v>
      </c>
    </row>
    <row r="9" customFormat="false" ht="23.85" hidden="false" customHeight="false" outlineLevel="0" collapsed="false">
      <c r="A9" s="6" t="s">
        <v>1862</v>
      </c>
      <c r="B9" s="7" t="n">
        <f aca="false">COUNTIF('Konsensus 12 AI'!C2:C1000,"Tokoh")</f>
        <v>194</v>
      </c>
      <c r="C9" s="6" t="s">
        <v>1861</v>
      </c>
    </row>
    <row r="10" customFormat="false" ht="23.85" hidden="false" customHeight="false" outlineLevel="0" collapsed="false">
      <c r="A10" s="6" t="s">
        <v>1863</v>
      </c>
      <c r="B10" s="7" t="n">
        <f aca="false">COUNTIF('Konsensus 12 AI'!C2:C1000,"Topik")</f>
        <v>98</v>
      </c>
      <c r="C10" s="6" t="s">
        <v>1861</v>
      </c>
    </row>
    <row r="11" customFormat="false" ht="35.05" hidden="false" customHeight="false" outlineLevel="0" collapsed="false">
      <c r="A11" s="6" t="s">
        <v>1864</v>
      </c>
      <c r="B11" s="7" t="str">
        <f aca="false">TEXT(1-(B8/B6),"0.0%")</f>
        <v>60.4%</v>
      </c>
      <c r="C11" s="6" t="s">
        <v>1865</v>
      </c>
    </row>
    <row r="12" customFormat="false" ht="35.05" hidden="false" customHeight="false" outlineLevel="0" collapsed="false">
      <c r="A12" s="6" t="s">
        <v>1866</v>
      </c>
      <c r="B12" s="7" t="n">
        <f aca="false">ROUND(AVERAGE('Konsensus 12 AI'!D2:D1000),2)</f>
        <v>2.46</v>
      </c>
      <c r="C12" s="6" t="s">
        <v>1867</v>
      </c>
    </row>
    <row r="13" customFormat="false" ht="46.25" hidden="false" customHeight="false" outlineLevel="0" collapsed="false">
      <c r="A13" s="6" t="s">
        <v>1868</v>
      </c>
      <c r="B13" s="7" t="n">
        <f aca="false">ROUND(AVERAGE('Ringkasan per AI'!E2:E13),1)</f>
        <v>78.5</v>
      </c>
      <c r="C13" s="6" t="s">
        <v>1869</v>
      </c>
    </row>
    <row r="14" customFormat="false" ht="147" hidden="false" customHeight="false" outlineLevel="0" collapsed="false">
      <c r="A14" s="8" t="s">
        <v>1870</v>
      </c>
      <c r="B14" s="9"/>
      <c r="C14" s="9"/>
    </row>
    <row r="16" customFormat="false" ht="19.5" hidden="false" customHeight="true" outlineLevel="0" collapsed="false">
      <c r="A16" s="4" t="s">
        <v>1871</v>
      </c>
      <c r="B16" s="4"/>
      <c r="C16" s="4"/>
      <c r="D16" s="4"/>
      <c r="E16" s="4"/>
      <c r="F16" s="4"/>
      <c r="G16" s="4"/>
    </row>
    <row r="17" customFormat="false" ht="23.85" hidden="false" customHeight="false" outlineLevel="0" collapsed="false">
      <c r="A17" s="5" t="s">
        <v>1753</v>
      </c>
      <c r="B17" s="5" t="s">
        <v>1872</v>
      </c>
      <c r="C17" s="5" t="s">
        <v>1873</v>
      </c>
      <c r="D17" s="5" t="s">
        <v>1874</v>
      </c>
      <c r="E17" s="5" t="s">
        <v>1875</v>
      </c>
      <c r="F17" s="5" t="s">
        <v>1876</v>
      </c>
      <c r="G17" s="5" t="s">
        <v>1877</v>
      </c>
    </row>
    <row r="18" customFormat="false" ht="57.45" hidden="false" customHeight="false" outlineLevel="0" collapsed="false">
      <c r="A18" s="6" t="s">
        <v>1878</v>
      </c>
      <c r="B18" s="7" t="s">
        <v>1879</v>
      </c>
      <c r="C18" s="7" t="n">
        <f aca="false">COUNTIFS('Konsensus 12 AI'!$C$2:$C$1000,"Tokoh",'Konsensus 12 AI'!$D$2:$D$1000,"&gt;="&amp;11,'Konsensus 12 AI'!$D$2:$D$1000,"&lt;="&amp;12)</f>
        <v>9</v>
      </c>
      <c r="D18" s="7" t="n">
        <f aca="false">COUNTIFS('Konsensus 12 AI'!$C$2:$C$1000,"Topik",'Konsensus 12 AI'!$D$2:$D$1000,"&gt;="&amp;11,'Konsensus 12 AI'!$D$2:$D$1000,"&lt;="&amp;12)</f>
        <v>4</v>
      </c>
      <c r="E18" s="7" t="n">
        <f aca="false">C18+D18</f>
        <v>13</v>
      </c>
      <c r="F18" s="7" t="str">
        <f aca="false">TEXT(E18/$B$8,"0.0%")</f>
        <v>4.5%</v>
      </c>
      <c r="G18" s="6" t="s">
        <v>1880</v>
      </c>
    </row>
    <row r="19" customFormat="false" ht="57.45" hidden="false" customHeight="false" outlineLevel="0" collapsed="false">
      <c r="A19" s="6" t="s">
        <v>1881</v>
      </c>
      <c r="B19" s="7" t="s">
        <v>1882</v>
      </c>
      <c r="C19" s="7" t="n">
        <f aca="false">COUNTIFS('Konsensus 12 AI'!$C$2:$C$1000,"Tokoh",'Konsensus 12 AI'!$D$2:$D$1000,"&gt;="&amp;7,'Konsensus 12 AI'!$D$2:$D$1000,"&lt;="&amp;10)</f>
        <v>8</v>
      </c>
      <c r="D19" s="7" t="n">
        <f aca="false">COUNTIFS('Konsensus 12 AI'!$C$2:$C$1000,"Topik",'Konsensus 12 AI'!$D$2:$D$1000,"&gt;="&amp;7,'Konsensus 12 AI'!$D$2:$D$1000,"&lt;="&amp;10)</f>
        <v>9</v>
      </c>
      <c r="E19" s="7" t="n">
        <f aca="false">C19+D19</f>
        <v>17</v>
      </c>
      <c r="F19" s="7" t="str">
        <f aca="false">TEXT(E19/$B$8,"0.0%")</f>
        <v>5.8%</v>
      </c>
      <c r="G19" s="6" t="s">
        <v>1883</v>
      </c>
    </row>
    <row r="20" customFormat="false" ht="46.25" hidden="false" customHeight="false" outlineLevel="0" collapsed="false">
      <c r="A20" s="6" t="s">
        <v>1884</v>
      </c>
      <c r="B20" s="7" t="s">
        <v>1885</v>
      </c>
      <c r="C20" s="7" t="n">
        <f aca="false">COUNTIFS('Konsensus 12 AI'!$C$2:$C$1000,"Tokoh",'Konsensus 12 AI'!$D$2:$D$1000,"&gt;="&amp;4,'Konsensus 12 AI'!$D$2:$D$1000,"&lt;="&amp;6)</f>
        <v>9</v>
      </c>
      <c r="D20" s="7" t="n">
        <f aca="false">COUNTIFS('Konsensus 12 AI'!$C$2:$C$1000,"Topik",'Konsensus 12 AI'!$D$2:$D$1000,"&gt;="&amp;4,'Konsensus 12 AI'!$D$2:$D$1000,"&lt;="&amp;6)</f>
        <v>10</v>
      </c>
      <c r="E20" s="7" t="n">
        <f aca="false">C20+D20</f>
        <v>19</v>
      </c>
      <c r="F20" s="7" t="str">
        <f aca="false">TEXT(E20/$B$8,"0.0%")</f>
        <v>6.5%</v>
      </c>
      <c r="G20" s="6" t="s">
        <v>1886</v>
      </c>
    </row>
    <row r="21" customFormat="false" ht="46.25" hidden="false" customHeight="false" outlineLevel="0" collapsed="false">
      <c r="A21" s="6" t="s">
        <v>1887</v>
      </c>
      <c r="B21" s="7" t="s">
        <v>1888</v>
      </c>
      <c r="C21" s="7" t="n">
        <f aca="false">COUNTIFS('Konsensus 12 AI'!$C$2:$C$1000,"Tokoh",'Konsensus 12 AI'!$D$2:$D$1000,"&gt;="&amp;1,'Konsensus 12 AI'!$D$2:$D$1000,"&lt;="&amp;3)</f>
        <v>168</v>
      </c>
      <c r="D21" s="7" t="n">
        <f aca="false">COUNTIFS('Konsensus 12 AI'!$C$2:$C$1000,"Topik",'Konsensus 12 AI'!$D$2:$D$1000,"&gt;="&amp;1,'Konsensus 12 AI'!$D$2:$D$1000,"&lt;="&amp;3)</f>
        <v>75</v>
      </c>
      <c r="E21" s="7" t="n">
        <f aca="false">C21+D21</f>
        <v>243</v>
      </c>
      <c r="F21" s="7" t="str">
        <f aca="false">TEXT(E21/$B$8,"0.0%")</f>
        <v>83.2%</v>
      </c>
      <c r="G21" s="6" t="s">
        <v>1889</v>
      </c>
    </row>
    <row r="22" customFormat="false" ht="35.05" hidden="false" customHeight="false" outlineLevel="0" collapsed="false">
      <c r="A22" s="6" t="s">
        <v>1890</v>
      </c>
      <c r="B22" s="6" t="s">
        <v>1891</v>
      </c>
      <c r="C22" s="6" t="n">
        <f aca="false">SUM(C18:C21)</f>
        <v>194</v>
      </c>
      <c r="D22" s="6" t="n">
        <f aca="false">SUM(D18:D21)</f>
        <v>98</v>
      </c>
      <c r="E22" s="6" t="n">
        <f aca="false">SUM(E18:E21)</f>
        <v>292</v>
      </c>
      <c r="F22" s="6" t="str">
        <f aca="false">TEXT(E22/$B$8,"0.0%")</f>
        <v>100.0%</v>
      </c>
      <c r="G22" s="6" t="s">
        <v>1892</v>
      </c>
    </row>
    <row r="24" customFormat="false" ht="19.5" hidden="false" customHeight="true" outlineLevel="0" collapsed="false">
      <c r="A24" s="4" t="s">
        <v>1893</v>
      </c>
      <c r="B24" s="4"/>
      <c r="C24" s="4"/>
      <c r="D24" s="4"/>
      <c r="E24" s="4"/>
      <c r="F24" s="4"/>
      <c r="G24" s="4"/>
    </row>
    <row r="25" customFormat="false" ht="15" hidden="false" customHeight="false" outlineLevel="0" collapsed="false">
      <c r="A25" s="10" t="s">
        <v>1894</v>
      </c>
      <c r="B25" s="10"/>
      <c r="C25" s="10"/>
      <c r="D25" s="10"/>
      <c r="E25" s="10"/>
      <c r="F25" s="10"/>
      <c r="G25" s="10"/>
    </row>
    <row r="26" customFormat="false" ht="46.25" hidden="false" customHeight="false" outlineLevel="0" collapsed="false">
      <c r="A26" s="5" t="s">
        <v>1749</v>
      </c>
      <c r="B26" s="5" t="s">
        <v>1</v>
      </c>
      <c r="C26" s="5" t="s">
        <v>1895</v>
      </c>
      <c r="D26" s="5" t="s">
        <v>1896</v>
      </c>
    </row>
    <row r="27" customFormat="false" ht="23.85" hidden="false" customHeight="false" outlineLevel="0" collapsed="false">
      <c r="A27" s="7" t="s">
        <v>7</v>
      </c>
      <c r="B27" s="6" t="s">
        <v>20</v>
      </c>
      <c r="C27" s="7" t="n">
        <v>12</v>
      </c>
      <c r="D27" s="6" t="s">
        <v>1897</v>
      </c>
    </row>
    <row r="28" customFormat="false" ht="23.85" hidden="false" customHeight="false" outlineLevel="0" collapsed="false">
      <c r="A28" s="7" t="s">
        <v>7</v>
      </c>
      <c r="B28" s="6" t="s">
        <v>6</v>
      </c>
      <c r="C28" s="7" t="n">
        <v>12</v>
      </c>
      <c r="D28" s="6" t="s">
        <v>1897</v>
      </c>
    </row>
    <row r="29" customFormat="false" ht="23.85" hidden="false" customHeight="false" outlineLevel="0" collapsed="false">
      <c r="A29" s="7" t="s">
        <v>7</v>
      </c>
      <c r="B29" s="6" t="s">
        <v>12</v>
      </c>
      <c r="C29" s="7" t="n">
        <v>12</v>
      </c>
      <c r="D29" s="6" t="s">
        <v>1897</v>
      </c>
    </row>
    <row r="30" customFormat="false" ht="23.85" hidden="false" customHeight="false" outlineLevel="0" collapsed="false">
      <c r="A30" s="7" t="s">
        <v>7</v>
      </c>
      <c r="B30" s="6" t="s">
        <v>26</v>
      </c>
      <c r="C30" s="7" t="n">
        <v>12</v>
      </c>
      <c r="D30" s="6" t="s">
        <v>1897</v>
      </c>
    </row>
    <row r="31" customFormat="false" ht="23.85" hidden="false" customHeight="false" outlineLevel="0" collapsed="false">
      <c r="A31" s="7" t="s">
        <v>7</v>
      </c>
      <c r="B31" s="6" t="s">
        <v>22</v>
      </c>
      <c r="C31" s="7" t="n">
        <v>12</v>
      </c>
      <c r="D31" s="6" t="s">
        <v>1897</v>
      </c>
    </row>
    <row r="32" customFormat="false" ht="23.85" hidden="false" customHeight="false" outlineLevel="0" collapsed="false">
      <c r="A32" s="7" t="s">
        <v>7</v>
      </c>
      <c r="B32" s="6" t="s">
        <v>24</v>
      </c>
      <c r="C32" s="7" t="n">
        <v>12</v>
      </c>
      <c r="D32" s="6" t="s">
        <v>1897</v>
      </c>
    </row>
    <row r="33" customFormat="false" ht="23.85" hidden="false" customHeight="false" outlineLevel="0" collapsed="false">
      <c r="A33" s="7" t="s">
        <v>7</v>
      </c>
      <c r="B33" s="6" t="s">
        <v>27</v>
      </c>
      <c r="C33" s="7" t="n">
        <v>12</v>
      </c>
      <c r="D33" s="6" t="s">
        <v>1897</v>
      </c>
    </row>
    <row r="34" customFormat="false" ht="23.85" hidden="false" customHeight="false" outlineLevel="0" collapsed="false">
      <c r="A34" s="7" t="s">
        <v>68</v>
      </c>
      <c r="B34" s="6" t="s">
        <v>82</v>
      </c>
      <c r="C34" s="7" t="n">
        <v>12</v>
      </c>
      <c r="D34" s="6" t="s">
        <v>1897</v>
      </c>
    </row>
    <row r="35" customFormat="false" ht="46.25" hidden="false" customHeight="false" outlineLevel="0" collapsed="false">
      <c r="A35" s="7" t="s">
        <v>68</v>
      </c>
      <c r="B35" s="6" t="s">
        <v>85</v>
      </c>
      <c r="C35" s="7" t="n">
        <v>12</v>
      </c>
      <c r="D35" s="6" t="s">
        <v>1897</v>
      </c>
    </row>
    <row r="36" customFormat="false" ht="15" hidden="false" customHeight="false" outlineLevel="0" collapsed="false">
      <c r="A36" s="7" t="s">
        <v>7</v>
      </c>
      <c r="B36" s="6" t="s">
        <v>18</v>
      </c>
      <c r="C36" s="7" t="n">
        <v>11</v>
      </c>
      <c r="D36" s="6" t="s">
        <v>514</v>
      </c>
    </row>
    <row r="37" customFormat="false" ht="15" hidden="false" customHeight="false" outlineLevel="0" collapsed="false">
      <c r="A37" s="7" t="s">
        <v>7</v>
      </c>
      <c r="B37" s="6" t="s">
        <v>16</v>
      </c>
      <c r="C37" s="7" t="n">
        <v>11</v>
      </c>
      <c r="D37" s="6" t="s">
        <v>514</v>
      </c>
    </row>
    <row r="38" customFormat="false" ht="35.05" hidden="false" customHeight="false" outlineLevel="0" collapsed="false">
      <c r="A38" s="7" t="s">
        <v>68</v>
      </c>
      <c r="B38" s="6" t="s">
        <v>133</v>
      </c>
      <c r="C38" s="7" t="n">
        <v>11</v>
      </c>
      <c r="D38" s="6" t="s">
        <v>905</v>
      </c>
    </row>
    <row r="39" customFormat="false" ht="57.45" hidden="false" customHeight="false" outlineLevel="0" collapsed="false">
      <c r="A39" s="7" t="s">
        <v>68</v>
      </c>
      <c r="B39" s="6" t="s">
        <v>100</v>
      </c>
      <c r="C39" s="7" t="n">
        <v>11</v>
      </c>
      <c r="D39" s="6" t="s">
        <v>565</v>
      </c>
    </row>
    <row r="41" customFormat="false" ht="15" hidden="false" customHeight="false" outlineLevel="0" collapsed="false">
      <c r="A41" s="10" t="s">
        <v>1898</v>
      </c>
      <c r="B41" s="10"/>
      <c r="C41" s="10"/>
      <c r="D41" s="10"/>
      <c r="E41" s="10"/>
      <c r="F41" s="10"/>
      <c r="G41" s="10"/>
    </row>
    <row r="42" customFormat="false" ht="46.25" hidden="false" customHeight="false" outlineLevel="0" collapsed="false">
      <c r="A42" s="5" t="s">
        <v>1749</v>
      </c>
      <c r="B42" s="5" t="s">
        <v>1</v>
      </c>
      <c r="C42" s="5" t="s">
        <v>1895</v>
      </c>
      <c r="D42" s="5" t="s">
        <v>1896</v>
      </c>
    </row>
    <row r="43" customFormat="false" ht="35.05" hidden="false" customHeight="false" outlineLevel="0" collapsed="false">
      <c r="A43" s="7" t="s">
        <v>68</v>
      </c>
      <c r="B43" s="6" t="s">
        <v>90</v>
      </c>
      <c r="C43" s="7" t="n">
        <v>10</v>
      </c>
      <c r="D43" s="6" t="s">
        <v>1899</v>
      </c>
    </row>
    <row r="44" customFormat="false" ht="23.85" hidden="false" customHeight="false" outlineLevel="0" collapsed="false">
      <c r="A44" s="7" t="s">
        <v>68</v>
      </c>
      <c r="B44" s="6" t="s">
        <v>116</v>
      </c>
      <c r="C44" s="7" t="n">
        <v>10</v>
      </c>
      <c r="D44" s="6" t="s">
        <v>1900</v>
      </c>
    </row>
    <row r="45" customFormat="false" ht="57.45" hidden="false" customHeight="false" outlineLevel="0" collapsed="false">
      <c r="A45" s="7" t="s">
        <v>68</v>
      </c>
      <c r="B45" s="6" t="s">
        <v>141</v>
      </c>
      <c r="C45" s="7" t="n">
        <v>10</v>
      </c>
      <c r="D45" s="6" t="s">
        <v>1901</v>
      </c>
    </row>
    <row r="46" customFormat="false" ht="15" hidden="false" customHeight="false" outlineLevel="0" collapsed="false">
      <c r="A46" s="7" t="s">
        <v>7</v>
      </c>
      <c r="B46" s="6" t="s">
        <v>40</v>
      </c>
      <c r="C46" s="7" t="n">
        <v>9</v>
      </c>
      <c r="D46" s="6" t="s">
        <v>1902</v>
      </c>
    </row>
    <row r="47" customFormat="false" ht="15" hidden="false" customHeight="false" outlineLevel="0" collapsed="false">
      <c r="A47" s="7" t="s">
        <v>7</v>
      </c>
      <c r="B47" s="6" t="s">
        <v>57</v>
      </c>
      <c r="C47" s="7" t="n">
        <v>9</v>
      </c>
      <c r="D47" s="6" t="s">
        <v>1903</v>
      </c>
    </row>
    <row r="48" customFormat="false" ht="15" hidden="false" customHeight="false" outlineLevel="0" collapsed="false">
      <c r="A48" s="7" t="s">
        <v>7</v>
      </c>
      <c r="B48" s="6" t="s">
        <v>55</v>
      </c>
      <c r="C48" s="7" t="n">
        <v>9</v>
      </c>
      <c r="D48" s="6" t="s">
        <v>1903</v>
      </c>
    </row>
    <row r="49" customFormat="false" ht="46.25" hidden="false" customHeight="false" outlineLevel="0" collapsed="false">
      <c r="A49" s="7" t="s">
        <v>68</v>
      </c>
      <c r="B49" s="6" t="s">
        <v>208</v>
      </c>
      <c r="C49" s="7" t="n">
        <v>9</v>
      </c>
      <c r="D49" s="6" t="s">
        <v>1904</v>
      </c>
    </row>
    <row r="50" customFormat="false" ht="23.85" hidden="false" customHeight="false" outlineLevel="0" collapsed="false">
      <c r="A50" s="7" t="s">
        <v>7</v>
      </c>
      <c r="B50" s="6" t="s">
        <v>53</v>
      </c>
      <c r="C50" s="7" t="n">
        <v>8</v>
      </c>
      <c r="D50" s="6" t="s">
        <v>1905</v>
      </c>
    </row>
    <row r="51" customFormat="false" ht="23.85" hidden="false" customHeight="false" outlineLevel="0" collapsed="false">
      <c r="A51" s="7" t="s">
        <v>7</v>
      </c>
      <c r="B51" s="6" t="s">
        <v>155</v>
      </c>
      <c r="C51" s="7" t="n">
        <v>8</v>
      </c>
      <c r="D51" s="6" t="s">
        <v>1906</v>
      </c>
    </row>
    <row r="52" customFormat="false" ht="23.85" hidden="false" customHeight="false" outlineLevel="0" collapsed="false">
      <c r="A52" s="7" t="s">
        <v>68</v>
      </c>
      <c r="B52" s="6" t="s">
        <v>86</v>
      </c>
      <c r="C52" s="7" t="n">
        <v>8</v>
      </c>
      <c r="D52" s="6" t="s">
        <v>1907</v>
      </c>
    </row>
    <row r="53" customFormat="false" ht="35.05" hidden="false" customHeight="false" outlineLevel="0" collapsed="false">
      <c r="A53" s="7" t="s">
        <v>7</v>
      </c>
      <c r="B53" s="6" t="s">
        <v>62</v>
      </c>
      <c r="C53" s="7" t="n">
        <v>7</v>
      </c>
      <c r="D53" s="6" t="s">
        <v>1908</v>
      </c>
    </row>
    <row r="54" customFormat="false" ht="23.85" hidden="false" customHeight="false" outlineLevel="0" collapsed="false">
      <c r="A54" s="7" t="s">
        <v>7</v>
      </c>
      <c r="B54" s="6" t="s">
        <v>58</v>
      </c>
      <c r="C54" s="7" t="n">
        <v>7</v>
      </c>
      <c r="D54" s="6" t="s">
        <v>1909</v>
      </c>
    </row>
    <row r="55" customFormat="false" ht="35.05" hidden="false" customHeight="false" outlineLevel="0" collapsed="false">
      <c r="A55" s="7" t="s">
        <v>7</v>
      </c>
      <c r="B55" s="6" t="s">
        <v>60</v>
      </c>
      <c r="C55" s="7" t="n">
        <v>7</v>
      </c>
      <c r="D55" s="6" t="s">
        <v>1908</v>
      </c>
    </row>
    <row r="56" customFormat="false" ht="46.25" hidden="false" customHeight="false" outlineLevel="0" collapsed="false">
      <c r="A56" s="7" t="s">
        <v>68</v>
      </c>
      <c r="B56" s="6" t="s">
        <v>238</v>
      </c>
      <c r="C56" s="7" t="n">
        <v>7</v>
      </c>
      <c r="D56" s="6" t="s">
        <v>1910</v>
      </c>
    </row>
    <row r="57" customFormat="false" ht="46.25" hidden="false" customHeight="false" outlineLevel="0" collapsed="false">
      <c r="A57" s="7" t="s">
        <v>68</v>
      </c>
      <c r="B57" s="6" t="s">
        <v>107</v>
      </c>
      <c r="C57" s="7" t="n">
        <v>7</v>
      </c>
      <c r="D57" s="6" t="s">
        <v>1911</v>
      </c>
    </row>
    <row r="58" customFormat="false" ht="46.25" hidden="false" customHeight="false" outlineLevel="0" collapsed="false">
      <c r="A58" s="7" t="s">
        <v>68</v>
      </c>
      <c r="B58" s="6" t="s">
        <v>305</v>
      </c>
      <c r="C58" s="7" t="n">
        <v>7</v>
      </c>
      <c r="D58" s="6" t="s">
        <v>1912</v>
      </c>
    </row>
    <row r="59" customFormat="false" ht="35.05" hidden="false" customHeight="false" outlineLevel="0" collapsed="false">
      <c r="A59" s="7" t="s">
        <v>68</v>
      </c>
      <c r="B59" s="6" t="s">
        <v>127</v>
      </c>
      <c r="C59" s="7" t="n">
        <v>7</v>
      </c>
      <c r="D59" s="6" t="s">
        <v>1913</v>
      </c>
    </row>
    <row r="61" customFormat="false" ht="15" hidden="false" customHeight="false" outlineLevel="0" collapsed="false">
      <c r="A61" s="10" t="s">
        <v>1914</v>
      </c>
      <c r="B61" s="10"/>
      <c r="C61" s="10"/>
      <c r="D61" s="10"/>
      <c r="E61" s="10"/>
      <c r="F61" s="10"/>
      <c r="G61" s="10"/>
    </row>
    <row r="62" customFormat="false" ht="35.05" hidden="false" customHeight="false" outlineLevel="0" collapsed="false">
      <c r="A62" s="5" t="s">
        <v>1749</v>
      </c>
      <c r="B62" s="5" t="s">
        <v>1</v>
      </c>
      <c r="C62" s="5" t="s">
        <v>1895</v>
      </c>
      <c r="D62" s="5" t="s">
        <v>1915</v>
      </c>
    </row>
    <row r="63" customFormat="false" ht="35.05" hidden="false" customHeight="false" outlineLevel="0" collapsed="false">
      <c r="A63" s="7" t="s">
        <v>7</v>
      </c>
      <c r="B63" s="6" t="s">
        <v>36</v>
      </c>
      <c r="C63" s="7" t="n">
        <v>6</v>
      </c>
      <c r="D63" s="6" t="s">
        <v>1916</v>
      </c>
    </row>
    <row r="64" customFormat="false" ht="35.05" hidden="false" customHeight="false" outlineLevel="0" collapsed="false">
      <c r="A64" s="7" t="s">
        <v>7</v>
      </c>
      <c r="B64" s="6" t="s">
        <v>262</v>
      </c>
      <c r="C64" s="7" t="n">
        <v>6</v>
      </c>
      <c r="D64" s="6" t="s">
        <v>1917</v>
      </c>
    </row>
    <row r="65" customFormat="false" ht="35.05" hidden="false" customHeight="false" outlineLevel="0" collapsed="false">
      <c r="A65" s="7" t="s">
        <v>7</v>
      </c>
      <c r="B65" s="6" t="s">
        <v>29</v>
      </c>
      <c r="C65" s="7" t="n">
        <v>6</v>
      </c>
      <c r="D65" s="6" t="s">
        <v>1918</v>
      </c>
    </row>
    <row r="66" customFormat="false" ht="35.05" hidden="false" customHeight="false" outlineLevel="0" collapsed="false">
      <c r="A66" s="7" t="s">
        <v>7</v>
      </c>
      <c r="B66" s="6" t="s">
        <v>61</v>
      </c>
      <c r="C66" s="7" t="n">
        <v>6</v>
      </c>
      <c r="D66" s="6" t="s">
        <v>1919</v>
      </c>
    </row>
    <row r="67" customFormat="false" ht="35.05" hidden="false" customHeight="false" outlineLevel="0" collapsed="false">
      <c r="A67" s="7" t="s">
        <v>7</v>
      </c>
      <c r="B67" s="6" t="s">
        <v>14</v>
      </c>
      <c r="C67" s="7" t="n">
        <v>6</v>
      </c>
      <c r="D67" s="6" t="s">
        <v>1920</v>
      </c>
    </row>
    <row r="68" customFormat="false" ht="35.05" hidden="false" customHeight="false" outlineLevel="0" collapsed="false">
      <c r="A68" s="7" t="s">
        <v>68</v>
      </c>
      <c r="B68" s="6" t="s">
        <v>242</v>
      </c>
      <c r="C68" s="7" t="n">
        <v>6</v>
      </c>
      <c r="D68" s="6" t="s">
        <v>1921</v>
      </c>
    </row>
    <row r="69" customFormat="false" ht="35.05" hidden="false" customHeight="false" outlineLevel="0" collapsed="false">
      <c r="A69" s="7" t="s">
        <v>68</v>
      </c>
      <c r="B69" s="6" t="s">
        <v>103</v>
      </c>
      <c r="C69" s="7" t="n">
        <v>6</v>
      </c>
      <c r="D69" s="6" t="s">
        <v>1922</v>
      </c>
    </row>
    <row r="70" customFormat="false" ht="35.05" hidden="false" customHeight="false" outlineLevel="0" collapsed="false">
      <c r="A70" s="7" t="s">
        <v>68</v>
      </c>
      <c r="B70" s="6" t="s">
        <v>124</v>
      </c>
      <c r="C70" s="7" t="n">
        <v>5</v>
      </c>
      <c r="D70" s="6" t="s">
        <v>1923</v>
      </c>
    </row>
    <row r="71" customFormat="false" ht="23.85" hidden="false" customHeight="false" outlineLevel="0" collapsed="false">
      <c r="A71" s="7" t="s">
        <v>68</v>
      </c>
      <c r="B71" s="6" t="s">
        <v>97</v>
      </c>
      <c r="C71" s="7" t="n">
        <v>5</v>
      </c>
      <c r="D71" s="6" t="s">
        <v>1924</v>
      </c>
    </row>
    <row r="72" customFormat="false" ht="35.05" hidden="false" customHeight="false" outlineLevel="0" collapsed="false">
      <c r="A72" s="7" t="s">
        <v>68</v>
      </c>
      <c r="B72" s="6" t="s">
        <v>70</v>
      </c>
      <c r="C72" s="7" t="n">
        <v>5</v>
      </c>
      <c r="D72" s="6" t="s">
        <v>1925</v>
      </c>
    </row>
    <row r="73" customFormat="false" ht="68.65" hidden="false" customHeight="false" outlineLevel="0" collapsed="false">
      <c r="A73" s="9"/>
      <c r="B73" s="8" t="s">
        <v>1926</v>
      </c>
      <c r="C73" s="9"/>
      <c r="D73" s="9"/>
    </row>
    <row r="75" customFormat="false" ht="15" hidden="false" customHeight="false" outlineLevel="0" collapsed="false">
      <c r="A75" s="10" t="s">
        <v>1927</v>
      </c>
      <c r="B75" s="10"/>
      <c r="C75" s="10"/>
      <c r="D75" s="10"/>
      <c r="E75" s="10"/>
      <c r="F75" s="10"/>
      <c r="G75" s="10"/>
    </row>
    <row r="76" customFormat="false" ht="23.85" hidden="false" customHeight="false" outlineLevel="0" collapsed="false">
      <c r="A76" s="5" t="s">
        <v>1749</v>
      </c>
      <c r="B76" s="5" t="s">
        <v>1</v>
      </c>
      <c r="C76" s="5" t="s">
        <v>1928</v>
      </c>
      <c r="D76" s="5" t="s">
        <v>1929</v>
      </c>
    </row>
    <row r="77" customFormat="false" ht="359.7" hidden="false" customHeight="false" outlineLevel="0" collapsed="false">
      <c r="A77" s="7" t="s">
        <v>7</v>
      </c>
      <c r="B77" s="6" t="s">
        <v>374</v>
      </c>
      <c r="C77" s="7" t="s">
        <v>1806</v>
      </c>
      <c r="D77" s="6" t="s">
        <v>1930</v>
      </c>
    </row>
    <row r="78" customFormat="false" ht="382.05" hidden="false" customHeight="false" outlineLevel="0" collapsed="false">
      <c r="A78" s="7" t="s">
        <v>7</v>
      </c>
      <c r="B78" s="6" t="s">
        <v>529</v>
      </c>
      <c r="C78" s="7" t="s">
        <v>514</v>
      </c>
      <c r="D78" s="6" t="s">
        <v>1931</v>
      </c>
    </row>
    <row r="79" customFormat="false" ht="393.25" hidden="false" customHeight="false" outlineLevel="0" collapsed="false">
      <c r="A79" s="7" t="s">
        <v>7</v>
      </c>
      <c r="B79" s="6" t="s">
        <v>983</v>
      </c>
      <c r="C79" s="7" t="s">
        <v>905</v>
      </c>
      <c r="D79" s="6" t="s">
        <v>1932</v>
      </c>
    </row>
    <row r="80" customFormat="false" ht="225.35" hidden="false" customHeight="false" outlineLevel="0" collapsed="false">
      <c r="A80" s="7" t="s">
        <v>7</v>
      </c>
      <c r="B80" s="6" t="s">
        <v>65</v>
      </c>
      <c r="C80" s="7" t="s">
        <v>9</v>
      </c>
      <c r="D80" s="6" t="s">
        <v>1933</v>
      </c>
    </row>
    <row r="81" customFormat="false" ht="415.65" hidden="false" customHeight="false" outlineLevel="0" collapsed="false">
      <c r="A81" s="7" t="s">
        <v>7</v>
      </c>
      <c r="B81" s="6" t="s">
        <v>10</v>
      </c>
      <c r="C81" s="7" t="s">
        <v>1934</v>
      </c>
      <c r="D81" s="6" t="s">
        <v>1935</v>
      </c>
    </row>
    <row r="82" customFormat="false" ht="281.3" hidden="false" customHeight="false" outlineLevel="0" collapsed="false">
      <c r="A82" s="7" t="s">
        <v>68</v>
      </c>
      <c r="B82" s="6" t="s">
        <v>721</v>
      </c>
      <c r="C82" s="7" t="s">
        <v>608</v>
      </c>
      <c r="D82" s="6" t="s">
        <v>1936</v>
      </c>
    </row>
    <row r="83" customFormat="false" ht="370.85" hidden="false" customHeight="false" outlineLevel="0" collapsed="false">
      <c r="A83" s="7" t="s">
        <v>68</v>
      </c>
      <c r="B83" s="6" t="s">
        <v>602</v>
      </c>
      <c r="C83" s="7" t="s">
        <v>1937</v>
      </c>
      <c r="D83" s="6" t="s">
        <v>1938</v>
      </c>
    </row>
    <row r="85" customFormat="false" ht="19.5" hidden="false" customHeight="true" outlineLevel="0" collapsed="false">
      <c r="A85" s="4" t="s">
        <v>1939</v>
      </c>
      <c r="B85" s="4"/>
      <c r="C85" s="4"/>
      <c r="D85" s="4"/>
      <c r="E85" s="4"/>
      <c r="F85" s="4"/>
      <c r="G85" s="4"/>
    </row>
    <row r="86" customFormat="false" ht="23.85" hidden="false" customHeight="false" outlineLevel="0" collapsed="false">
      <c r="A86" s="5" t="s">
        <v>1928</v>
      </c>
      <c r="B86" s="5" t="s">
        <v>1940</v>
      </c>
      <c r="C86" s="5" t="s">
        <v>1941</v>
      </c>
      <c r="D86" s="5" t="s">
        <v>1942</v>
      </c>
    </row>
    <row r="87" customFormat="false" ht="370.85" hidden="false" customHeight="false" outlineLevel="0" collapsed="false">
      <c r="A87" s="7" t="s">
        <v>905</v>
      </c>
      <c r="B87" s="6" t="s">
        <v>1943</v>
      </c>
      <c r="C87" s="7" t="s">
        <v>1944</v>
      </c>
      <c r="D87" s="6" t="s">
        <v>1945</v>
      </c>
    </row>
    <row r="88" customFormat="false" ht="292.5" hidden="false" customHeight="false" outlineLevel="0" collapsed="false">
      <c r="A88" s="7" t="s">
        <v>317</v>
      </c>
      <c r="B88" s="6" t="s">
        <v>1946</v>
      </c>
      <c r="C88" s="7" t="s">
        <v>1947</v>
      </c>
      <c r="D88" s="6" t="s">
        <v>1948</v>
      </c>
    </row>
    <row r="89" customFormat="false" ht="393.25" hidden="false" customHeight="false" outlineLevel="0" collapsed="false">
      <c r="A89" s="7" t="s">
        <v>514</v>
      </c>
      <c r="B89" s="6" t="s">
        <v>1949</v>
      </c>
      <c r="C89" s="7" t="s">
        <v>1950</v>
      </c>
      <c r="D89" s="6" t="s">
        <v>1951</v>
      </c>
    </row>
    <row r="90" customFormat="false" ht="449.25" hidden="false" customHeight="false" outlineLevel="0" collapsed="false">
      <c r="A90" s="7" t="s">
        <v>9</v>
      </c>
      <c r="B90" s="6" t="s">
        <v>1952</v>
      </c>
      <c r="C90" s="7" t="s">
        <v>1953</v>
      </c>
      <c r="D90" s="6" t="s">
        <v>1954</v>
      </c>
    </row>
    <row r="91" customFormat="false" ht="202.95" hidden="false" customHeight="false" outlineLevel="0" collapsed="false">
      <c r="A91" s="7" t="s">
        <v>1955</v>
      </c>
      <c r="B91" s="6" t="s">
        <v>1956</v>
      </c>
      <c r="C91" s="7" t="s">
        <v>1957</v>
      </c>
      <c r="D91" s="6" t="s">
        <v>1958</v>
      </c>
    </row>
    <row r="92" customFormat="false" ht="247.75" hidden="false" customHeight="false" outlineLevel="0" collapsed="false">
      <c r="A92" s="7" t="s">
        <v>731</v>
      </c>
      <c r="B92" s="6" t="s">
        <v>1959</v>
      </c>
      <c r="C92" s="7" t="s">
        <v>1960</v>
      </c>
      <c r="D92" s="6" t="s">
        <v>1961</v>
      </c>
    </row>
    <row r="93" customFormat="false" ht="393.25" hidden="false" customHeight="false" outlineLevel="0" collapsed="false">
      <c r="A93" s="7" t="s">
        <v>608</v>
      </c>
      <c r="B93" s="6" t="s">
        <v>1962</v>
      </c>
      <c r="C93" s="7" t="s">
        <v>1963</v>
      </c>
      <c r="D93" s="6" t="s">
        <v>1964</v>
      </c>
    </row>
    <row r="94" customFormat="false" ht="270.1" hidden="false" customHeight="false" outlineLevel="0" collapsed="false">
      <c r="A94" s="7" t="s">
        <v>317</v>
      </c>
      <c r="B94" s="6" t="s">
        <v>1965</v>
      </c>
      <c r="C94" s="7" t="s">
        <v>1966</v>
      </c>
      <c r="D94" s="6" t="s">
        <v>1967</v>
      </c>
    </row>
    <row r="95" customFormat="false" ht="236.55" hidden="false" customHeight="false" outlineLevel="0" collapsed="false">
      <c r="A95" s="7" t="s">
        <v>254</v>
      </c>
      <c r="B95" s="6" t="s">
        <v>1968</v>
      </c>
      <c r="C95" s="7" t="s">
        <v>1969</v>
      </c>
      <c r="D95" s="6" t="s">
        <v>1970</v>
      </c>
    </row>
    <row r="96" customFormat="false" ht="247.75" hidden="false" customHeight="false" outlineLevel="0" collapsed="false">
      <c r="A96" s="7" t="s">
        <v>1971</v>
      </c>
      <c r="B96" s="6" t="s">
        <v>1972</v>
      </c>
      <c r="C96" s="7" t="s">
        <v>1973</v>
      </c>
      <c r="D96" s="6" t="s">
        <v>1974</v>
      </c>
    </row>
    <row r="97" customFormat="false" ht="292.5" hidden="false" customHeight="false" outlineLevel="0" collapsed="false">
      <c r="A97" s="7" t="s">
        <v>514</v>
      </c>
      <c r="B97" s="6" t="s">
        <v>1975</v>
      </c>
      <c r="C97" s="7" t="s">
        <v>1973</v>
      </c>
      <c r="D97" s="6" t="s">
        <v>1976</v>
      </c>
    </row>
    <row r="98" customFormat="false" ht="270.1" hidden="false" customHeight="false" outlineLevel="0" collapsed="false">
      <c r="A98" s="7" t="s">
        <v>608</v>
      </c>
      <c r="B98" s="6" t="s">
        <v>1977</v>
      </c>
      <c r="C98" s="7" t="s">
        <v>1978</v>
      </c>
      <c r="D98" s="6" t="s">
        <v>1979</v>
      </c>
    </row>
    <row r="99" customFormat="false" ht="292.5" hidden="false" customHeight="false" outlineLevel="0" collapsed="false">
      <c r="A99" s="7" t="s">
        <v>905</v>
      </c>
      <c r="B99" s="6" t="s">
        <v>1980</v>
      </c>
      <c r="C99" s="7" t="s">
        <v>1981</v>
      </c>
      <c r="D99" s="6" t="s">
        <v>1982</v>
      </c>
    </row>
    <row r="101" customFormat="false" ht="303.7" hidden="false" customHeight="false" outlineLevel="0" collapsed="false">
      <c r="A101" s="8" t="s">
        <v>1983</v>
      </c>
      <c r="B101" s="9"/>
      <c r="C101" s="9"/>
      <c r="D101" s="9"/>
    </row>
    <row r="103" customFormat="false" ht="19.5" hidden="false" customHeight="true" outlineLevel="0" collapsed="false">
      <c r="A103" s="4" t="s">
        <v>1984</v>
      </c>
      <c r="B103" s="4"/>
      <c r="C103" s="4"/>
      <c r="D103" s="4"/>
      <c r="E103" s="4"/>
      <c r="F103" s="4"/>
      <c r="G103" s="4"/>
    </row>
    <row r="104" customFormat="false" ht="23.85" hidden="false" customHeight="false" outlineLevel="0" collapsed="false">
      <c r="A104" s="5" t="s">
        <v>1748</v>
      </c>
      <c r="B104" s="5" t="s">
        <v>1719</v>
      </c>
      <c r="C104" s="5" t="s">
        <v>1985</v>
      </c>
      <c r="D104" s="5" t="s">
        <v>7</v>
      </c>
      <c r="E104" s="5" t="s">
        <v>68</v>
      </c>
      <c r="F104" s="5" t="s">
        <v>1986</v>
      </c>
      <c r="G104" s="5" t="s">
        <v>1987</v>
      </c>
    </row>
    <row r="105" customFormat="false" ht="23.85" hidden="false" customHeight="false" outlineLevel="0" collapsed="false">
      <c r="A105" s="7" t="s">
        <v>9</v>
      </c>
      <c r="B105" s="7" t="str">
        <f aca="false">INDEX('Ringkasan per AI'!$B:$B,MATCH("CL",'Ringkasan per AI'!$A$2:$A$13,0)+1)</f>
        <v>Claude</v>
      </c>
      <c r="C105" s="7" t="n">
        <f aca="false">INDEX('Ringkasan per AI'!$C:$C,MATCH("CL",'Ringkasan per AI'!$A$2:$A$13,0)+1)+INDEX('Ringkasan per AI'!$D:$D,MATCH("CL",'Ringkasan per AI'!$A$2:$A$13,0)+1)</f>
        <v>63</v>
      </c>
      <c r="D105" s="7" t="n">
        <f aca="false">INDEX('Ringkasan per AI'!$D:$D,MATCH("CL",'Ringkasan per AI'!$A$2:$A$13,0)+1)</f>
        <v>33</v>
      </c>
      <c r="E105" s="7" t="n">
        <f aca="false">INDEX('Ringkasan per AI'!$C:$C,MATCH("CL",'Ringkasan per AI'!$A$2:$A$13,0)+1)</f>
        <v>30</v>
      </c>
      <c r="F105" s="7" t="n">
        <f aca="false">INDEX('Ringkasan per AI'!$E:$E,MATCH("CL",'Ringkasan per AI'!$A$2:$A$13,0)+1)</f>
        <v>91.7</v>
      </c>
      <c r="G105" s="6" t="s">
        <v>1988</v>
      </c>
    </row>
    <row r="106" customFormat="false" ht="23.85" hidden="false" customHeight="false" outlineLevel="0" collapsed="false">
      <c r="A106" s="7" t="s">
        <v>254</v>
      </c>
      <c r="B106" s="7" t="str">
        <f aca="false">INDEX('Ringkasan per AI'!$B:$B,MATCH("GR",'Ringkasan per AI'!$A$2:$A$13,0)+1)</f>
        <v>Grok</v>
      </c>
      <c r="C106" s="7" t="n">
        <f aca="false">INDEX('Ringkasan per AI'!$C:$C,MATCH("GR",'Ringkasan per AI'!$A$2:$A$13,0)+1)+INDEX('Ringkasan per AI'!$D:$D,MATCH("GR",'Ringkasan per AI'!$A$2:$A$13,0)+1)</f>
        <v>46</v>
      </c>
      <c r="D106" s="7" t="n">
        <f aca="false">INDEX('Ringkasan per AI'!$D:$D,MATCH("GR",'Ringkasan per AI'!$A$2:$A$13,0)+1)</f>
        <v>25</v>
      </c>
      <c r="E106" s="7" t="n">
        <f aca="false">INDEX('Ringkasan per AI'!$C:$C,MATCH("GR",'Ringkasan per AI'!$A$2:$A$13,0)+1)</f>
        <v>21</v>
      </c>
      <c r="F106" s="7" t="n">
        <f aca="false">INDEX('Ringkasan per AI'!$E:$E,MATCH("GR",'Ringkasan per AI'!$A$2:$A$13,0)+1)</f>
        <v>89.7</v>
      </c>
      <c r="G106" s="6" t="s">
        <v>1989</v>
      </c>
    </row>
    <row r="107" customFormat="false" ht="23.85" hidden="false" customHeight="false" outlineLevel="0" collapsed="false">
      <c r="A107" s="7" t="s">
        <v>151</v>
      </c>
      <c r="B107" s="7" t="str">
        <f aca="false">INDEX('Ringkasan per AI'!$B:$B,MATCH("DE",'Ringkasan per AI'!$A$2:$A$13,0)+1)</f>
        <v>DeepSeek</v>
      </c>
      <c r="C107" s="7" t="n">
        <f aca="false">INDEX('Ringkasan per AI'!$C:$C,MATCH("DE",'Ringkasan per AI'!$A$2:$A$13,0)+1)+INDEX('Ringkasan per AI'!$D:$D,MATCH("DE",'Ringkasan per AI'!$A$2:$A$13,0)+1)</f>
        <v>55</v>
      </c>
      <c r="D107" s="7" t="n">
        <f aca="false">INDEX('Ringkasan per AI'!$D:$D,MATCH("DE",'Ringkasan per AI'!$A$2:$A$13,0)+1)</f>
        <v>30</v>
      </c>
      <c r="E107" s="7" t="n">
        <f aca="false">INDEX('Ringkasan per AI'!$C:$C,MATCH("DE",'Ringkasan per AI'!$A$2:$A$13,0)+1)</f>
        <v>25</v>
      </c>
      <c r="F107" s="7" t="n">
        <f aca="false">INDEX('Ringkasan per AI'!$E:$E,MATCH("DE",'Ringkasan per AI'!$A$2:$A$13,0)+1)</f>
        <v>71.1</v>
      </c>
      <c r="G107" s="6" t="s">
        <v>1990</v>
      </c>
    </row>
    <row r="108" customFormat="false" ht="35.05" hidden="false" customHeight="false" outlineLevel="0" collapsed="false">
      <c r="A108" s="7" t="s">
        <v>317</v>
      </c>
      <c r="B108" s="7" t="str">
        <f aca="false">INDEX('Ringkasan per AI'!$B:$B,MATCH("KI",'Ringkasan per AI'!$A$2:$A$13,0)+1)</f>
        <v>Kimi</v>
      </c>
      <c r="C108" s="7" t="n">
        <f aca="false">INDEX('Ringkasan per AI'!$C:$C,MATCH("KI",'Ringkasan per AI'!$A$2:$A$13,0)+1)+INDEX('Ringkasan per AI'!$D:$D,MATCH("KI",'Ringkasan per AI'!$A$2:$A$13,0)+1)</f>
        <v>116</v>
      </c>
      <c r="D108" s="7" t="n">
        <f aca="false">INDEX('Ringkasan per AI'!$D:$D,MATCH("KI",'Ringkasan per AI'!$A$2:$A$13,0)+1)</f>
        <v>66</v>
      </c>
      <c r="E108" s="7" t="n">
        <f aca="false">INDEX('Ringkasan per AI'!$C:$C,MATCH("KI",'Ringkasan per AI'!$A$2:$A$13,0)+1)</f>
        <v>50</v>
      </c>
      <c r="F108" s="7" t="n">
        <f aca="false">INDEX('Ringkasan per AI'!$E:$E,MATCH("KI",'Ringkasan per AI'!$A$2:$A$13,0)+1)</f>
        <v>68.5</v>
      </c>
      <c r="G108" s="6" t="s">
        <v>1991</v>
      </c>
    </row>
    <row r="109" customFormat="false" ht="35.05" hidden="false" customHeight="false" outlineLevel="0" collapsed="false">
      <c r="A109" s="7" t="s">
        <v>514</v>
      </c>
      <c r="B109" s="7" t="str">
        <f aca="false">INDEX('Ringkasan per AI'!$B:$B,MATCH("CO",'Ringkasan per AI'!$A$2:$A$13,0)+1)</f>
        <v>Copilot</v>
      </c>
      <c r="C109" s="7" t="n">
        <f aca="false">INDEX('Ringkasan per AI'!$C:$C,MATCH("CO",'Ringkasan per AI'!$A$2:$A$13,0)+1)+INDEX('Ringkasan per AI'!$D:$D,MATCH("CO",'Ringkasan per AI'!$A$2:$A$13,0)+1)</f>
        <v>39</v>
      </c>
      <c r="D109" s="7" t="n">
        <f aca="false">INDEX('Ringkasan per AI'!$D:$D,MATCH("CO",'Ringkasan per AI'!$A$2:$A$13,0)+1)</f>
        <v>19</v>
      </c>
      <c r="E109" s="7" t="n">
        <f aca="false">INDEX('Ringkasan per AI'!$C:$C,MATCH("CO",'Ringkasan per AI'!$A$2:$A$13,0)+1)</f>
        <v>20</v>
      </c>
      <c r="F109" s="7" t="n">
        <f aca="false">INDEX('Ringkasan per AI'!$E:$E,MATCH("CO",'Ringkasan per AI'!$A$2:$A$13,0)+1)</f>
        <v>75</v>
      </c>
      <c r="G109" s="6" t="s">
        <v>1992</v>
      </c>
    </row>
    <row r="110" customFormat="false" ht="23.85" hidden="false" customHeight="false" outlineLevel="0" collapsed="false">
      <c r="A110" s="7" t="s">
        <v>565</v>
      </c>
      <c r="B110" s="7" t="str">
        <f aca="false">INDEX('Ringkasan per AI'!$B:$B,MATCH("GE",'Ringkasan per AI'!$A$2:$A$13,0)+1)</f>
        <v>Gemini</v>
      </c>
      <c r="C110" s="7" t="n">
        <f aca="false">INDEX('Ringkasan per AI'!$C:$C,MATCH("GE",'Ringkasan per AI'!$A$2:$A$13,0)+1)+INDEX('Ringkasan per AI'!$D:$D,MATCH("GE",'Ringkasan per AI'!$A$2:$A$13,0)+1)</f>
        <v>33</v>
      </c>
      <c r="D110" s="7" t="n">
        <f aca="false">INDEX('Ringkasan per AI'!$D:$D,MATCH("GE",'Ringkasan per AI'!$A$2:$A$13,0)+1)</f>
        <v>18</v>
      </c>
      <c r="E110" s="7" t="n">
        <f aca="false">INDEX('Ringkasan per AI'!$C:$C,MATCH("GE",'Ringkasan per AI'!$A$2:$A$13,0)+1)</f>
        <v>15</v>
      </c>
      <c r="F110" s="7" t="n">
        <f aca="false">INDEX('Ringkasan per AI'!$E:$E,MATCH("GE",'Ringkasan per AI'!$A$2:$A$13,0)+1)</f>
        <v>79.2</v>
      </c>
      <c r="G110" s="6" t="s">
        <v>1993</v>
      </c>
    </row>
    <row r="111" customFormat="false" ht="35.05" hidden="false" customHeight="false" outlineLevel="0" collapsed="false">
      <c r="A111" s="7" t="s">
        <v>608</v>
      </c>
      <c r="B111" s="7" t="str">
        <f aca="false">INDEX('Ringkasan per AI'!$B:$B,MATCH("TE",'Ringkasan per AI'!$A$2:$A$13,0)+1)</f>
        <v>Tera AI</v>
      </c>
      <c r="C111" s="7" t="n">
        <f aca="false">INDEX('Ringkasan per AI'!$C:$C,MATCH("TE",'Ringkasan per AI'!$A$2:$A$13,0)+1)+INDEX('Ringkasan per AI'!$D:$D,MATCH("TE",'Ringkasan per AI'!$A$2:$A$13,0)+1)</f>
        <v>81</v>
      </c>
      <c r="D111" s="7" t="n">
        <f aca="false">INDEX('Ringkasan per AI'!$D:$D,MATCH("TE",'Ringkasan per AI'!$A$2:$A$13,0)+1)</f>
        <v>46</v>
      </c>
      <c r="E111" s="7" t="n">
        <f aca="false">INDEX('Ringkasan per AI'!$C:$C,MATCH("TE",'Ringkasan per AI'!$A$2:$A$13,0)+1)</f>
        <v>35</v>
      </c>
      <c r="F111" s="7" t="n">
        <f aca="false">INDEX('Ringkasan per AI'!$E:$E,MATCH("TE",'Ringkasan per AI'!$A$2:$A$13,0)+1)</f>
        <v>69.4</v>
      </c>
      <c r="G111" s="6" t="s">
        <v>1994</v>
      </c>
    </row>
    <row r="112" customFormat="false" ht="35.05" hidden="false" customHeight="false" outlineLevel="0" collapsed="false">
      <c r="A112" s="7" t="s">
        <v>731</v>
      </c>
      <c r="B112" s="7" t="str">
        <f aca="false">INDEX('Ringkasan per AI'!$B:$B,MATCH("PE",'Ringkasan per AI'!$A$2:$A$13,0)+1)</f>
        <v>Perplexity</v>
      </c>
      <c r="C112" s="7" t="n">
        <f aca="false">INDEX('Ringkasan per AI'!$C:$C,MATCH("PE",'Ringkasan per AI'!$A$2:$A$13,0)+1)+INDEX('Ringkasan per AI'!$D:$D,MATCH("PE",'Ringkasan per AI'!$A$2:$A$13,0)+1)</f>
        <v>47</v>
      </c>
      <c r="D112" s="7" t="n">
        <f aca="false">INDEX('Ringkasan per AI'!$D:$D,MATCH("PE",'Ringkasan per AI'!$A$2:$A$13,0)+1)</f>
        <v>24</v>
      </c>
      <c r="E112" s="7" t="n">
        <f aca="false">INDEX('Ringkasan per AI'!$C:$C,MATCH("PE",'Ringkasan per AI'!$A$2:$A$13,0)+1)</f>
        <v>23</v>
      </c>
      <c r="F112" s="7" t="n">
        <f aca="false">INDEX('Ringkasan per AI'!$E:$E,MATCH("PE",'Ringkasan per AI'!$A$2:$A$13,0)+1)</f>
        <v>88.4</v>
      </c>
      <c r="G112" s="6" t="s">
        <v>1995</v>
      </c>
    </row>
    <row r="113" customFormat="false" ht="35.05" hidden="false" customHeight="false" outlineLevel="0" collapsed="false">
      <c r="A113" s="7" t="s">
        <v>791</v>
      </c>
      <c r="B113" s="7" t="str">
        <f aca="false">INDEX('Ringkasan per AI'!$B:$B,MATCH("GP",'Ringkasan per AI'!$A$2:$A$13,0)+1)</f>
        <v>GPT</v>
      </c>
      <c r="C113" s="7" t="n">
        <f aca="false">INDEX('Ringkasan per AI'!$C:$C,MATCH("GP",'Ringkasan per AI'!$A$2:$A$13,0)+1)+INDEX('Ringkasan per AI'!$D:$D,MATCH("GP",'Ringkasan per AI'!$A$2:$A$13,0)+1)</f>
        <v>74</v>
      </c>
      <c r="D113" s="7" t="n">
        <f aca="false">INDEX('Ringkasan per AI'!$D:$D,MATCH("GP",'Ringkasan per AI'!$A$2:$A$13,0)+1)</f>
        <v>36</v>
      </c>
      <c r="E113" s="7" t="n">
        <f aca="false">INDEX('Ringkasan per AI'!$C:$C,MATCH("GP",'Ringkasan per AI'!$A$2:$A$13,0)+1)</f>
        <v>38</v>
      </c>
      <c r="F113" s="7" t="n">
        <f aca="false">INDEX('Ringkasan per AI'!$E:$E,MATCH("GP",'Ringkasan per AI'!$A$2:$A$13,0)+1)</f>
        <v>50.7</v>
      </c>
      <c r="G113" s="6" t="s">
        <v>1996</v>
      </c>
    </row>
    <row r="114" customFormat="false" ht="46.25" hidden="false" customHeight="false" outlineLevel="0" collapsed="false">
      <c r="A114" s="7" t="s">
        <v>905</v>
      </c>
      <c r="B114" s="7" t="str">
        <f aca="false">INDEX('Ringkasan per AI'!$B:$B,MATCH("LE",'Ringkasan per AI'!$A$2:$A$13,0)+1)</f>
        <v>Le Chat</v>
      </c>
      <c r="C114" s="7" t="n">
        <f aca="false">INDEX('Ringkasan per AI'!$C:$C,MATCH("LE",'Ringkasan per AI'!$A$2:$A$13,0)+1)+INDEX('Ringkasan per AI'!$D:$D,MATCH("LE",'Ringkasan per AI'!$A$2:$A$13,0)+1)</f>
        <v>79</v>
      </c>
      <c r="D114" s="7" t="n">
        <f aca="false">INDEX('Ringkasan per AI'!$D:$D,MATCH("LE",'Ringkasan per AI'!$A$2:$A$13,0)+1)</f>
        <v>61</v>
      </c>
      <c r="E114" s="7" t="n">
        <f aca="false">INDEX('Ringkasan per AI'!$C:$C,MATCH("LE",'Ringkasan per AI'!$A$2:$A$13,0)+1)</f>
        <v>18</v>
      </c>
      <c r="F114" s="7" t="n">
        <f aca="false">INDEX('Ringkasan per AI'!$E:$E,MATCH("LE",'Ringkasan per AI'!$A$2:$A$13,0)+1)</f>
        <v>81</v>
      </c>
      <c r="G114" s="6" t="s">
        <v>1997</v>
      </c>
    </row>
    <row r="115" customFormat="false" ht="46.25" hidden="false" customHeight="false" outlineLevel="0" collapsed="false">
      <c r="A115" s="7" t="s">
        <v>1020</v>
      </c>
      <c r="B115" s="7" t="str">
        <f aca="false">INDEX('Ringkasan per AI'!$B:$B,MATCH("ME",'Ringkasan per AI'!$A$2:$A$13,0)+1)</f>
        <v>Meta AI</v>
      </c>
      <c r="C115" s="7" t="n">
        <f aca="false">INDEX('Ringkasan per AI'!$C:$C,MATCH("ME",'Ringkasan per AI'!$A$2:$A$13,0)+1)+INDEX('Ringkasan per AI'!$D:$D,MATCH("ME",'Ringkasan per AI'!$A$2:$A$13,0)+1)</f>
        <v>63</v>
      </c>
      <c r="D115" s="7" t="n">
        <f aca="false">INDEX('Ringkasan per AI'!$D:$D,MATCH("ME",'Ringkasan per AI'!$A$2:$A$13,0)+1)</f>
        <v>43</v>
      </c>
      <c r="E115" s="7" t="n">
        <f aca="false">INDEX('Ringkasan per AI'!$C:$C,MATCH("ME",'Ringkasan per AI'!$A$2:$A$13,0)+1)</f>
        <v>20</v>
      </c>
      <c r="F115" s="7" t="n">
        <f aca="false">INDEX('Ringkasan per AI'!$E:$E,MATCH("ME",'Ringkasan per AI'!$A$2:$A$13,0)+1)</f>
        <v>94.7</v>
      </c>
      <c r="G115" s="6" t="s">
        <v>1998</v>
      </c>
    </row>
    <row r="116" customFormat="false" ht="35.05" hidden="false" customHeight="false" outlineLevel="0" collapsed="false">
      <c r="A116" s="7" t="s">
        <v>1100</v>
      </c>
      <c r="B116" s="7" t="str">
        <f aca="false">INDEX('Ringkasan per AI'!$B:$B,MATCH("QW",'Ringkasan per AI'!$A$2:$A$13,0)+1)</f>
        <v>Qwen</v>
      </c>
      <c r="C116" s="7" t="n">
        <f aca="false">INDEX('Ringkasan per AI'!$C:$C,MATCH("QW",'Ringkasan per AI'!$A$2:$A$13,0)+1)+INDEX('Ringkasan per AI'!$D:$D,MATCH("QW",'Ringkasan per AI'!$A$2:$A$13,0)+1)</f>
        <v>42</v>
      </c>
      <c r="D116" s="7" t="n">
        <f aca="false">INDEX('Ringkasan per AI'!$D:$D,MATCH("QW",'Ringkasan per AI'!$A$2:$A$13,0)+1)</f>
        <v>29</v>
      </c>
      <c r="E116" s="7" t="n">
        <f aca="false">INDEX('Ringkasan per AI'!$C:$C,MATCH("QW",'Ringkasan per AI'!$A$2:$A$13,0)+1)</f>
        <v>13</v>
      </c>
      <c r="F116" s="7" t="n">
        <f aca="false">INDEX('Ringkasan per AI'!$E:$E,MATCH("QW",'Ringkasan per AI'!$A$2:$A$13,0)+1)</f>
        <v>82.8</v>
      </c>
      <c r="G116" s="6" t="s">
        <v>1999</v>
      </c>
    </row>
  </sheetData>
  <mergeCells count="10">
    <mergeCell ref="A1:G1"/>
    <mergeCell ref="A3:G3"/>
    <mergeCell ref="A16:G16"/>
    <mergeCell ref="A24:G24"/>
    <mergeCell ref="A25:G25"/>
    <mergeCell ref="A41:G41"/>
    <mergeCell ref="A61:G61"/>
    <mergeCell ref="A75:G75"/>
    <mergeCell ref="A85:G85"/>
    <mergeCell ref="A103:G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2026-08-28T03:57:02Z</dcterms:created>
  <dc:creator>openpyxl</dc:creator>
  <dc:description/>
  <dc:language>en-US</dc:language>
  <cp:lastModifiedBy/>
  <dcterms:modified xsi:type="dcterms:W3CDTF">2026-08-28T03:57:16Z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